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2223255cc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c96b773d8dc41f5"/>
    <x:sheet xmlns:r="http://schemas.openxmlformats.org/officeDocument/2006/relationships" name="DREs" sheetId="2" r:id="R4ce7f79aa91446dd"/>
    <x:sheet xmlns:r="http://schemas.openxmlformats.org/officeDocument/2006/relationships" name="EDITAIS" sheetId="3" r:id="R600c4ff86d794ea5"/>
    <x:sheet xmlns:r="http://schemas.openxmlformats.org/officeDocument/2006/relationships" name="DOCUMENTOS" sheetId="4" r:id="R26ba2edcaaff4fc6"/>
    <x:sheet xmlns:r="http://schemas.openxmlformats.org/officeDocument/2006/relationships" name="ITENS" sheetId="5" r:id="R8b76ca82782d4657"/>
    <x:sheet xmlns:r="http://schemas.openxmlformats.org/officeDocument/2006/relationships" name="PENDÊNCIAS" sheetId="6" r:id="R7a607efcb4da4297"/>
    <x:sheet xmlns:r="http://schemas.openxmlformats.org/officeDocument/2006/relationships" name="ANEXOS" sheetId="7" r:id="R6e32310078084183"/>
    <x:sheet xmlns:r="http://schemas.openxmlformats.org/officeDocument/2006/relationships" name="FONTES" sheetId="8" r:id="R27cda0735789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dd/mm/yyyy"/>
    <x:numFmt numFmtId="202" formatCode="&quot;R$&quot; #,##0.0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6D4D12"/>
      <x:name val="Carlito"/>
    </x:font>
    <x:font>
      <x:sz val="10"/>
      <x:color rgb="FF20333D"/>
      <x:name val="Aptos"/>
    </x:font>
    <x:font>
      <x:b/>
      <x:sz val="10"/>
      <x:color rgb="FF173E46"/>
      <x:name val="Aptos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E46"/>
      </x:patternFill>
    </x:fill>
    <x:fill>
      <x:patternFill patternType="solid">
        <x:fgColor rgb="FFFFF3D9"/>
      </x:patternFill>
    </x:fill>
    <x:fill>
      <x:patternFill patternType="solid">
        <x:fgColor rgb="FFD7EA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2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D351D"/>
      </x:font>
      <x:fill>
        <x:patternFill patternType="solid">
          <x:bgColor rgb="FFFFE3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dd0a49ddf4418" /><Relationship Type="http://schemas.openxmlformats.org/officeDocument/2006/relationships/theme" Target="/xl/theme/theme1.xml" Id="R6cd0e7e86ecb48d7" /><Relationship Type="http://schemas.openxmlformats.org/officeDocument/2006/relationships/sharedStrings" Target="/xl/sharedStrings.xml" Id="Rfd24143f501d4e1d" /><Relationship Type="http://schemas.openxmlformats.org/officeDocument/2006/relationships/worksheet" Target="/xl/worksheets/sheet1.xml" Id="R7c96b773d8dc41f5" /><Relationship Type="http://schemas.openxmlformats.org/officeDocument/2006/relationships/worksheet" Target="/xl/worksheets/sheet2.xml" Id="R4ce7f79aa91446dd" /><Relationship Type="http://schemas.openxmlformats.org/officeDocument/2006/relationships/worksheet" Target="/xl/worksheets/sheet3.xml" Id="R600c4ff86d794ea5" /><Relationship Type="http://schemas.openxmlformats.org/officeDocument/2006/relationships/worksheet" Target="/xl/worksheets/sheet4.xml" Id="R26ba2edcaaff4fc6" /><Relationship Type="http://schemas.openxmlformats.org/officeDocument/2006/relationships/worksheet" Target="/xl/worksheets/sheet5.xml" Id="R8b76ca82782d4657" /><Relationship Type="http://schemas.openxmlformats.org/officeDocument/2006/relationships/worksheet" Target="/xl/worksheets/sheet6.xml" Id="R7a607efcb4da4297" /><Relationship Type="http://schemas.openxmlformats.org/officeDocument/2006/relationships/worksheet" Target="/xl/worksheets/sheet7.xml" Id="R6e32310078084183" /><Relationship Type="http://schemas.openxmlformats.org/officeDocument/2006/relationships/worksheet" Target="/xl/worksheets/sheet8.xml" Id="R27cda073578948e8" /></Relationships>
</file>

<file path=xl/tables/table1.xml><?xml version="1.0" encoding="utf-8"?>
<x:table xmlns:x="http://schemas.openxmlformats.org/spreadsheetml/2006/main" id="1" name="T_RESUMO" displayName="T_RESUMO" ref="A4:H17" headerRowCount="1" totalsRowCount="0" totalsRowShown="0">
  <x:autoFilter ref="A4:H17"/>
  <x:tableColumns count="8">
    <x:tableColumn id="1" name="DRE"/>
    <x:tableColumn id="2" name="Procedimentos inventariados"/>
    <x:tableColumn id="3" name="Chamadas elegíveis 2025"/>
    <x:tableColumn id="4" name="PDFs validados"/>
    <x:tableColumn id="5" name="PDFs baixados"/>
    <x:tableColumn id="6" name="Cabeçalhos de anexos"/>
    <x:tableColumn id="7" name="Downloads inacessíveis"/>
    <x:tableColumn id="8" name="Pendentes de valid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DREs" displayName="T_DREs" ref="A4:J17" headerRowCount="1" totalsRowCount="0" totalsRowShown="0">
  <x:autoFilter ref="A4:J17"/>
  <x:tableColumns count="10">
    <x:tableColumn id="1" name="DRE"/>
    <x:tableColumn id="2" name="Portal principal"/>
    <x:tableColumn id="3" name="URL da seção de editais"/>
    <x:tableColumn id="4" name="URL da seção de chamadas"/>
    <x:tableColumn id="5" name="Disponibilidade"/>
    <x:tableColumn id="6" name="Data da pesquisa"/>
    <x:tableColumn id="7" name="Editais elegíveis"/>
    <x:tableColumn id="8" name="Documentos baixados"/>
    <x:tableColumn id="9" name="Pendências"/>
    <x:tableColumn id="10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EDITAIS" displayName="T_EDITAIS" ref="A4:T129" headerRowCount="1" totalsRowCount="0" totalsRowShown="0">
  <x:autoFilter ref="A4:T129"/>
  <x:tableColumns count="20">
    <x:tableColumn id="1" name="ID de inventário"/>
    <x:tableColumn id="2" name="DRE"/>
    <x:tableColumn id="3" name="Município / abrangência"/>
    <x:tableColumn id="4" name="Escola ou unidade executora"/>
    <x:tableColumn id="5" name="CNPJ"/>
    <x:tableColumn id="6" name="Número do edital"/>
    <x:tableColumn id="7" name="Ano da numeração"/>
    <x:tableColumn id="8" name="Data de publicação"/>
    <x:tableColumn id="9" name="Exercício atendido"/>
    <x:tableColumn id="10" name="Objeto"/>
    <x:tableColumn id="11" name="Tipo de procedimento"/>
    <x:tableColumn id="12" name="Valor estimado"/>
    <x:tableColumn id="13" name="Situação"/>
    <x:tableColumn id="14" name="URL da publicação"/>
    <x:tableColumn id="15" name="URL direta do edital / referência"/>
    <x:tableColumn id="16" name="Arquivo local"/>
    <x:tableColumn id="17" name="Status de acesso"/>
    <x:tableColumn id="18" name="Status da elegibilidade"/>
    <x:tableColumn id="19" name="Justificativa"/>
    <x:tableColumn id="20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DOCUMENTOS" displayName="T_DOCUMENTOS" ref="A4:N139" headerRowCount="1" totalsRowCount="0" totalsRowShown="0">
  <x:autoFilter ref="A4:N139"/>
  <x:tableColumns count="14">
    <x:tableColumn id="1" name="ID do documento"/>
    <x:tableColumn id="2" name="ID do edital"/>
    <x:tableColumn id="3" name="DRE"/>
    <x:tableColumn id="4" name="Tipo do documento"/>
    <x:tableColumn id="5" name="Nome original / nome estável"/>
    <x:tableColumn id="6" name="URL direta"/>
    <x:tableColumn id="7" name="Formato"/>
    <x:tableColumn id="8" name="Páginas"/>
    <x:tableColumn id="9" name="SHA-256"/>
    <x:tableColumn id="10" name="Data do download"/>
    <x:tableColumn id="11" name="Status"/>
    <x:tableColumn id="12" name="Arquivo local"/>
    <x:tableColumn id="13" name="Duplicado de"/>
    <x:tableColumn id="14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ITENS" displayName="T_ITENS" ref="A4:O557" headerRowCount="1" totalsRowCount="0" totalsRowShown="0">
  <x:autoFilter ref="A4:O557"/>
  <x:tableColumns count="15">
    <x:tableColumn id="1" name="ID do edital"/>
    <x:tableColumn id="2" name="DRE"/>
    <x:tableColumn id="3" name="Município"/>
    <x:tableColumn id="4" name="Item"/>
    <x:tableColumn id="5" name="Produto"/>
    <x:tableColumn id="6" name="Descrição inicial"/>
    <x:tableColumn id="7" name="Unidade"/>
    <x:tableColumn id="8" name="Quantidade"/>
    <x:tableColumn id="9" name="Preço unitário"/>
    <x:tableColumn id="10" name="Valor total da fonte"/>
    <x:tableColumn id="11" name="Página de origem"/>
    <x:tableColumn id="12" name="Observações"/>
    <x:tableColumn id="13" name="ID do documento"/>
    <x:tableColumn id="14" name="Total calculado"/>
    <x:tableColumn id="15" name="Diferença fo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PENDENCIAS" displayName="T_PENDENCIAS" ref="A4:G48" headerRowCount="1" totalsRowCount="0" totalsRowShown="0">
  <x:autoFilter ref="A4:G48"/>
  <x:tableColumns count="7">
    <x:tableColumn id="1" name="DRE"/>
    <x:tableColumn id="2" name="Edital"/>
    <x:tableColumn id="3" name="Problema encontrado"/>
    <x:tableColumn id="4" name="Tipo de problema"/>
    <x:tableColumn id="5" name="URL relacionada"/>
    <x:tableColumn id="6" name="Tentativas realizadas"/>
    <x:tableColumn id="7" name="Próxima ação recomendad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ANEXOS" displayName="T_ANEXOS" ref="A4:I316" headerRowCount="1" totalsRowCount="0" totalsRowShown="0">
  <x:autoFilter ref="A4:I316"/>
  <x:tableColumns count="9">
    <x:tableColumn id="1" name="ID do edital"/>
    <x:tableColumn id="2" name="Documento"/>
    <x:tableColumn id="3" name="DRE"/>
    <x:tableColumn id="4" name="Anexo"/>
    <x:tableColumn id="5" name="Título extraído"/>
    <x:tableColumn id="6" name="Página"/>
    <x:tableColumn id="7" name="Arquivo de origem"/>
    <x:tableColumn id="8" name="Campos editáveis"/>
    <x:tableColumn id="9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FONTES" displayName="T_FONTES" ref="A4:E123" headerRowCount="1" totalsRowCount="0" totalsRowShown="0">
  <x:autoFilter ref="A4:E123"/>
  <x:tableColumns count="5">
    <x:tableColumn id="1" name="DRE"/>
    <x:tableColumn id="2" name="URL acessada"/>
    <x:tableColumn id="3" name="HTTP"/>
    <x:tableColumn id="4" name="Categoria"/>
    <x:tableColumn id="5" name="Data da pesquis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5c1253eb6a4c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7689774d5d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4696107e384e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f68a8a7afa4b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40cd81148743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004236db7c645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b9bab07265741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90c8b3a4d284ed7" /></Relationships>
</file>

<file path=xl/worksheets/sheet1.xml><?xml version="1.0" encoding="utf-8"?>
<x:worksheet xmlns:x="http://schemas.openxmlformats.org/spreadsheetml/2006/main">
  <x:sheetPr>
    <x:tabColor rgb="FF176B6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" t="str">
        <x:v>PNAE Mato Grosso • pesquisa documental de 2025</x:v>
      </x:c>
      <x:c r="B1" s="2"/>
      <x:c r="C1" s="2"/>
      <x:c r="D1" s="2"/>
      <x:c r="E1" s="2"/>
      <x:c r="F1" s="2"/>
    </x:row>
    <x:row r="2" ht="44" customHeight="1">
      <x:c r="A2" s="5" t="str">
        <x:v>13 portais acessados. Levantamento com lacunas: não representa censo completo. “Elegíveis” conta chamadas com PDF integral e ano 2025 confirmado.</x:v>
      </x:c>
      <x:c r="B2" s="5"/>
      <x:c r="C2" s="5"/>
      <x:c r="D2" s="5"/>
      <x:c r="E2" s="5"/>
      <x:c r="F2" s="5"/>
    </x:row>
    <x:row r="4" ht="48" customHeight="1">
      <x:c r="A4" s="10" t="str">
        <x:v>DRE</x:v>
      </x:c>
      <x:c r="B4" s="10" t="str">
        <x:v>Procedimentos
inventariados</x:v>
      </x:c>
      <x:c r="C4" s="10" t="str">
        <x:v>Chamadas elegíveis
2025</x:v>
      </x:c>
      <x:c r="D4" s="10" t="str">
        <x:v>PDFs
validados</x:v>
      </x:c>
      <x:c r="E4" s="10" t="str">
        <x:v>PDFs
baixados</x:v>
      </x:c>
      <x:c r="F4" s="10" t="str">
        <x:v>Cabeçalhos
de anexos</x:v>
      </x:c>
      <x:c r="G4" s="10" t="str">
        <x:v>Downloads
inacessíveis</x:v>
      </x:c>
      <x:c r="H4" s="10" t="str">
        <x:v>Pendentes
de validação</x:v>
      </x:c>
    </x:row>
    <x:row r="5" ht="30" customHeight="1">
      <x:c r="A5" s="8" t="str">
        <x:v>Alta Floresta</x:v>
      </x:c>
      <x:c r="B5" s="8" t="n">
        <x:v>7</x:v>
      </x:c>
      <x:c r="C5" s="8" t="n">
        <x:v>7</x:v>
      </x:c>
      <x:c r="D5" s="8" t="n">
        <x:v>7</x:v>
      </x:c>
      <x:c r="E5" s="8" t="n">
        <x:v>7</x:v>
      </x:c>
      <x:c r="F5" s="8" t="n">
        <x:v>42</x:v>
      </x:c>
      <x:c r="G5" s="8" t="n">
        <x:v>0</x:v>
      </x:c>
      <x:c r="H5" s="8" t="n">
        <x:v>0</x:v>
      </x:c>
    </x:row>
    <x:row r="6" ht="30" customHeight="1">
      <x:c r="A6" s="8" t="str">
        <x:v>Barra do Garças</x:v>
      </x:c>
      <x:c r="B6" s="8" t="n">
        <x:v>1</x:v>
      </x:c>
      <x:c r="C6" s="8" t="n">
        <x:v>0</x:v>
      </x:c>
      <x:c r="D6" s="8" t="n">
        <x:v>1</x:v>
      </x:c>
      <x:c r="E6" s="8" t="n">
        <x:v>1</x:v>
      </x:c>
      <x:c r="F6" s="8" t="n">
        <x:v>0</x:v>
      </x:c>
      <x:c r="G6" s="8" t="n">
        <x:v>0</x:v>
      </x:c>
      <x:c r="H6" s="8" t="n">
        <x:v>1</x:v>
      </x:c>
    </x:row>
    <x:row r="7" ht="30" customHeight="1">
      <x:c r="A7" s="8" t="str">
        <x:v>Cáceres</x:v>
      </x:c>
      <x:c r="B7" s="8" t="n">
        <x:v>5</x:v>
      </x:c>
      <x:c r="C7" s="8" t="n">
        <x:v>0</x:v>
      </x:c>
      <x:c r="D7" s="8" t="n">
        <x:v>7</x:v>
      </x:c>
      <x:c r="E7" s="8" t="n">
        <x:v>7</x:v>
      </x:c>
      <x:c r="F7" s="8" t="n">
        <x:v>0</x:v>
      </x:c>
      <x:c r="G7" s="8" t="n">
        <x:v>0</x:v>
      </x:c>
      <x:c r="H7" s="8" t="n">
        <x:v>0</x:v>
      </x:c>
    </x:row>
    <x:row r="8" ht="30" customHeight="1">
      <x:c r="A8" s="8" t="str">
        <x:v>Confresa</x:v>
      </x:c>
      <x:c r="B8" s="8" t="n">
        <x:v>1</x:v>
      </x:c>
      <x:c r="C8" s="8" t="n">
        <x:v>0</x:v>
      </x:c>
      <x:c r="D8" s="8" t="n">
        <x:v>1</x:v>
      </x:c>
      <x:c r="E8" s="8" t="n">
        <x:v>1</x:v>
      </x:c>
      <x:c r="F8" s="8" t="n">
        <x:v>0</x:v>
      </x:c>
      <x:c r="G8" s="8" t="n">
        <x:v>0</x:v>
      </x:c>
      <x:c r="H8" s="8" t="n">
        <x:v>1</x:v>
      </x:c>
    </x:row>
    <x:row r="9" ht="30" customHeight="1">
      <x:c r="A9" s="8" t="str">
        <x:v>Diamantino</x:v>
      </x:c>
      <x:c r="B9" s="8" t="n">
        <x:v>14</x:v>
      </x:c>
      <x:c r="C9" s="8" t="n">
        <x:v>14</x:v>
      </x:c>
      <x:c r="D9" s="8" t="n">
        <x:v>15</x:v>
      </x:c>
      <x:c r="E9" s="8" t="n">
        <x:v>15</x:v>
      </x:c>
      <x:c r="F9" s="8" t="n">
        <x:v>84</x:v>
      </x:c>
      <x:c r="G9" s="8" t="n">
        <x:v>0</x:v>
      </x:c>
      <x:c r="H9" s="8" t="n">
        <x:v>0</x:v>
      </x:c>
    </x:row>
    <x:row r="10" ht="30" customHeight="1">
      <x:c r="A10" s="8" t="str">
        <x:v>Juína</x:v>
      </x:c>
      <x:c r="B10" s="8" t="n">
        <x:v>10</x:v>
      </x:c>
      <x:c r="C10" s="8" t="n">
        <x:v>10</x:v>
      </x:c>
      <x:c r="D10" s="8" t="n">
        <x:v>12</x:v>
      </x:c>
      <x:c r="E10" s="8" t="n">
        <x:v>12</x:v>
      </x:c>
      <x:c r="F10" s="8" t="n">
        <x:v>60</x:v>
      </x:c>
      <x:c r="G10" s="8" t="n">
        <x:v>0</x:v>
      </x:c>
      <x:c r="H10" s="8" t="n">
        <x:v>0</x:v>
      </x:c>
    </x:row>
    <x:row r="11" ht="30" customHeight="1">
      <x:c r="A11" s="8" t="str">
        <x:v>Matupá</x:v>
      </x:c>
      <x:c r="B11" s="8" t="n">
        <x:v>1</x:v>
      </x:c>
      <x:c r="C11" s="8" t="n">
        <x:v>0</x:v>
      </x:c>
      <x:c r="D11" s="8" t="n">
        <x:v>1</x:v>
      </x:c>
      <x:c r="E11" s="8" t="n">
        <x:v>1</x:v>
      </x:c>
      <x:c r="F11" s="8" t="n">
        <x:v>0</x:v>
      </x:c>
      <x:c r="G11" s="8" t="n">
        <x:v>0</x:v>
      </x:c>
      <x:c r="H11" s="8" t="n">
        <x:v>1</x:v>
      </x:c>
    </x:row>
    <x:row r="12" ht="30" customHeight="1">
      <x:c r="A12" s="8" t="str">
        <x:v>Metropolitana</x:v>
      </x:c>
      <x:c r="B12" s="8" t="n">
        <x:v>22</x:v>
      </x:c>
      <x:c r="C12" s="8" t="n">
        <x:v>0</x:v>
      </x:c>
      <x:c r="D12" s="8" t="n">
        <x:v>22</x:v>
      </x:c>
      <x:c r="E12" s="8" t="n">
        <x:v>22</x:v>
      </x:c>
      <x:c r="F12" s="8" t="n">
        <x:v>0</x:v>
      </x:c>
      <x:c r="G12" s="8" t="n">
        <x:v>0</x:v>
      </x:c>
      <x:c r="H12" s="8" t="n">
        <x:v>9</x:v>
      </x:c>
    </x:row>
    <x:row r="13" ht="30" customHeight="1">
      <x:c r="A13" s="8" t="str">
        <x:v>Pontes e Lacerda</x:v>
      </x:c>
      <x:c r="B13" s="8" t="n">
        <x:v>1</x:v>
      </x:c>
      <x:c r="C13" s="8" t="n">
        <x:v>1</x:v>
      </x:c>
      <x:c r="D13" s="8" t="n">
        <x:v>1</x:v>
      </x:c>
      <x:c r="E13" s="8" t="n">
        <x:v>1</x:v>
      </x:c>
      <x:c r="F13" s="8" t="n">
        <x:v>6</x:v>
      </x:c>
      <x:c r="G13" s="8" t="n">
        <x:v>0</x:v>
      </x:c>
      <x:c r="H13" s="8" t="n">
        <x:v>0</x:v>
      </x:c>
    </x:row>
    <x:row r="14" ht="30" customHeight="1">
      <x:c r="A14" s="8" t="str">
        <x:v>Primavera do Leste</x:v>
      </x:c>
      <x:c r="B14" s="8" t="n">
        <x:v>37</x:v>
      </x:c>
      <x:c r="C14" s="8" t="n">
        <x:v>2</x:v>
      </x:c>
      <x:c r="D14" s="8" t="n">
        <x:v>42</x:v>
      </x:c>
      <x:c r="E14" s="8" t="n">
        <x:v>42</x:v>
      </x:c>
      <x:c r="F14" s="8" t="n">
        <x:v>12</x:v>
      </x:c>
      <x:c r="G14" s="8" t="n">
        <x:v>0</x:v>
      </x:c>
      <x:c r="H14" s="8" t="n">
        <x:v>15</x:v>
      </x:c>
    </x:row>
    <x:row r="15" ht="30" customHeight="1">
      <x:c r="A15" s="8" t="str">
        <x:v>Rondonópolis</x:v>
      </x:c>
      <x:c r="B15" s="8" t="n">
        <x:v>1</x:v>
      </x:c>
      <x:c r="C15" s="8" t="n">
        <x:v>0</x:v>
      </x:c>
      <x:c r="D15" s="8" t="n">
        <x:v>1</x:v>
      </x:c>
      <x:c r="E15" s="8" t="n">
        <x:v>1</x:v>
      </x:c>
      <x:c r="F15" s="8" t="n">
        <x:v>0</x:v>
      </x:c>
      <x:c r="G15" s="8" t="n">
        <x:v>0</x:v>
      </x:c>
      <x:c r="H15" s="8" t="n">
        <x:v>1</x:v>
      </x:c>
    </x:row>
    <x:row r="16" ht="30" customHeight="1">
      <x:c r="A16" s="8" t="str">
        <x:v>Sinop</x:v>
      </x:c>
      <x:c r="B16" s="8" t="n">
        <x:v>18</x:v>
      </x:c>
      <x:c r="C16" s="8" t="n">
        <x:v>18</x:v>
      </x:c>
      <x:c r="D16" s="8" t="n">
        <x:v>18</x:v>
      </x:c>
      <x:c r="E16" s="8" t="n">
        <x:v>18</x:v>
      </x:c>
      <x:c r="F16" s="8" t="n">
        <x:v>108</x:v>
      </x:c>
      <x:c r="G16" s="8" t="n">
        <x:v>0</x:v>
      </x:c>
      <x:c r="H16" s="8" t="n">
        <x:v>0</x:v>
      </x:c>
    </x:row>
    <x:row r="17" ht="30" customHeight="1">
      <x:c r="A17" s="8" t="str">
        <x:v>Tangará da Serra</x:v>
      </x:c>
      <x:c r="B17" s="8" t="n">
        <x:v>7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8" t="n">
        <x:v>7</x:v>
      </x:c>
      <x:c r="H17" s="8" t="n">
        <x:v>7</x:v>
      </x:c>
    </x:row>
    <x:row r="18" ht="30" customHeight="1">
      <x:c r="A18" s="14" t="str">
        <x:v>TOTAL</x:v>
      </x:c>
      <x:c r="B18" s="14" t="n">
        <x:f>SUM(B5:B17)</x:f>
        <x:v>125</x:v>
      </x:c>
      <x:c r="C18" s="14" t="n">
        <x:f>SUM(C5:C17)</x:f>
        <x:v>52</x:v>
      </x:c>
      <x:c r="D18" s="14" t="n">
        <x:f>SUM(D5:D17)</x:f>
        <x:v>128</x:v>
      </x:c>
      <x:c r="E18" s="14" t="n">
        <x:f>SUM(E5:E17)</x:f>
        <x:v>128</x:v>
      </x:c>
      <x:c r="F18" s="14" t="n">
        <x:f>SUM(F5:F17)</x:f>
        <x:v>312</x:v>
      </x:c>
      <x:c r="G18" s="14" t="n">
        <x:f>SUM(G5:G17)</x:f>
        <x:v>7</x:v>
      </x:c>
      <x:c r="H18" s="14" t="n">
        <x:f>SUM(H5:H17)</x:f>
        <x:v>35</x:v>
      </x:c>
    </x:row>
  </x:sheetData>
  <x:mergeCells>
    <x:mergeCell ref="A1:F1"/>
    <x:mergeCell ref="A2:F2"/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f05c1253eb6a4c1c"/>
  </x:tableParts>
</x:worksheet>
</file>

<file path=xl/worksheets/sheet2.xml><?xml version="1.0" encoding="utf-8"?>
<x:worksheet xmlns:x="http://schemas.openxmlformats.org/spreadsheetml/2006/main">
  <x:sheetPr>
    <x:tabColor rgb="FF176B6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48" hidden="0" customWidth="1"/>
    <x:col min="10" max="10" width="48" hidden="0" customWidth="1"/>
  </x:cols>
  <x:sheetData>
    <x:row r="1" ht="34" customHeight="1">
      <x:c r="A1" s="2" t="str">
        <x:v>Cobertura dos 13 portais</x:v>
      </x:c>
      <x:c r="B1" s="2"/>
      <x:c r="C1" s="2"/>
      <x:c r="D1" s="2"/>
      <x:c r="E1" s="2"/>
      <x:c r="F1" s="2"/>
    </x:row>
    <x:row r="2" ht="44" customHeight="1">
      <x:c r="A2" s="5" t="str">
        <x:v>Zero na contagem significa nenhum PDF integral elegível confirmado neste levantamento; não significa ausência de editais.</x:v>
      </x:c>
      <x:c r="B2" s="5"/>
      <x:c r="C2" s="5"/>
      <x:c r="D2" s="5"/>
      <x:c r="E2" s="5"/>
      <x:c r="F2" s="5"/>
    </x:row>
    <x:row r="4" ht="48" customHeight="1">
      <x:c r="A4" s="10" t="str">
        <x:v>DRE</x:v>
      </x:c>
      <x:c r="B4" s="10" t="str">
        <x:v>Portal principal</x:v>
      </x:c>
      <x:c r="C4" s="10" t="str">
        <x:v>URL da seção de editais</x:v>
      </x:c>
      <x:c r="D4" s="10" t="str">
        <x:v>URL da seção de chamadas</x:v>
      </x:c>
      <x:c r="E4" s="10" t="str">
        <x:v>Disponibilidade</x:v>
      </x:c>
      <x:c r="F4" s="10" t="str">
        <x:v>Data da pesquisa</x:v>
      </x:c>
      <x:c r="G4" s="10" t="str">
        <x:v>Editais elegíveis</x:v>
      </x:c>
      <x:c r="H4" s="10" t="str">
        <x:v>Documentos baixados</x:v>
      </x:c>
      <x:c r="I4" s="10" t="str">
        <x:v>Pendências</x:v>
      </x:c>
      <x:c r="J4" s="10" t="str">
        <x:v>Observações</x:v>
      </x:c>
    </x:row>
    <x:row r="5" ht="84" customHeight="1">
      <x:c r="A5" s="8" t="str">
        <x:v>Alta Floresta</x:v>
      </x:c>
      <x:c r="B5" s="8" t="str">
        <x:v>https://drealtafloresta.com.br/drealtafloresta/</x:v>
      </x:c>
      <x:c r="C5" s="8" t="str">
        <x:v>https://drealtafloresta.com.br/drealtafloresta/editais/</x:v>
      </x:c>
      <x:c r="D5" s="8" t="str">
        <x:v>https://drealtafloresta.com.br/drealtafloresta/aviso-de-chamada-publica-no-013-2024-p-o-municipio-de-nova-monte-verde-mt-ano-letivo-de-2025/</x:v>
      </x:c>
      <x:c r="E5" s="8" t="str">
        <x:v>HTTP 200 no acesso direto</x:v>
      </x:c>
      <x:c r="F5" s="12" t="d">
        <x:v>2026-10-12T12:00:00.000Z</x:v>
      </x:c>
      <x:c r="G5" s="8" t="n">
        <x:v>7</x:v>
      </x:c>
      <x:c r="H5" s="8" t="n">
        <x:v>7</x:v>
      </x:c>
      <x:c r="I5" s="8" t="str"/>
      <x:c r="J5" s="8" t="str">
        <x:v>Vinculação por identificação do próprio portal e contatos edu.mt.gov.br; relação territorial histórica requer conferência.</x:v>
      </x:c>
    </x:row>
    <x:row r="6" ht="84" customHeight="1">
      <x:c r="A6" s="8" t="str">
        <x:v>Barra do Garças</x:v>
      </x:c>
      <x:c r="B6" s="8" t="str">
        <x:v>https://sites.google.com/edu.mt.gov.br/dre-barra-do-garcas</x:v>
      </x:c>
      <x:c r="C6" s="8" t="str">
        <x:v>https://sites.google.com/edu.mt.gov.br/dre-barra-do-garcas/editais</x:v>
      </x:c>
      <x:c r="D6" s="8"/>
      <x:c r="E6" s="8" t="str">
        <x:v>HTTP 200 no acesso direto</x:v>
      </x:c>
      <x:c r="F6" s="12" t="d">
        <x:v>2026-10-12T12:00:00.000Z</x:v>
      </x:c>
      <x:c r="G6" s="8" t="n">
        <x:v>0</x:v>
      </x:c>
      <x:c r="H6" s="8" t="n">
        <x:v>1</x:v>
      </x:c>
      <x:c r="I6" s="8" t="str">
        <x:v>REFERENCIA_HISTORICA; LACUNA_COBERTURA</x:v>
      </x:c>
      <x:c r="J6" s="8" t="str">
        <x:v>Vinculação por identificação do próprio portal e contatos edu.mt.gov.br; relação territorial histórica requer conferência.</x:v>
      </x:c>
    </x:row>
    <x:row r="7" ht="84" customHeight="1">
      <x:c r="A7" s="8" t="str">
        <x:v>Cáceres</x:v>
      </x:c>
      <x:c r="B7" s="8" t="str">
        <x:v>https://www.drecaceres.com.br/</x:v>
      </x:c>
      <x:c r="C7" s="8" t="str">
        <x:v>https://www.drecaceres.com.br/editais.php</x:v>
      </x:c>
      <x:c r="D7" s="8"/>
      <x:c r="E7" s="8" t="str">
        <x:v>HTTP 200 no acesso direto</x:v>
      </x:c>
      <x:c r="F7" s="12" t="d">
        <x:v>2026-10-12T12:00:00.000Z</x:v>
      </x:c>
      <x:c r="G7" s="8" t="n">
        <x:v>0</x:v>
      </x:c>
      <x:c r="H7" s="8" t="n">
        <x:v>7</x:v>
      </x:c>
      <x:c r="I7" s="8" t="str">
        <x:v>LACUNA_COBERTURA</x:v>
      </x:c>
      <x:c r="J7" s="8" t="str">
        <x:v>Vinculação por identificação do próprio portal e contatos edu.mt.gov.br; relação territorial histórica requer conferência.</x:v>
      </x:c>
    </x:row>
    <x:row r="8" ht="84" customHeight="1">
      <x:c r="A8" s="8" t="str">
        <x:v>Confresa</x:v>
      </x:c>
      <x:c r="B8" s="8" t="str">
        <x:v>https://dreconfresa.com.br/</x:v>
      </x:c>
      <x:c r="C8" s="8" t="str">
        <x:v>https://dreconfresa.com.br/editais-simplificados.php</x:v>
      </x:c>
      <x:c r="D8" s="8"/>
      <x:c r="E8" s="8" t="str">
        <x:v>HTTP 200 no acesso direto</x:v>
      </x:c>
      <x:c r="F8" s="12" t="d">
        <x:v>2026-10-12T12:00:00.000Z</x:v>
      </x:c>
      <x:c r="G8" s="8" t="n">
        <x:v>0</x:v>
      </x:c>
      <x:c r="H8" s="8" t="n">
        <x:v>1</x:v>
      </x:c>
      <x:c r="I8" s="8" t="str">
        <x:v>REFERENCIA_HISTORICA; LACUNA_COBERTURA</x:v>
      </x:c>
      <x:c r="J8" s="8" t="str">
        <x:v>Vinculação por identificação do próprio portal e contatos edu.mt.gov.br; relação territorial histórica requer conferência.</x:v>
      </x:c>
    </x:row>
    <x:row r="9" ht="84" customHeight="1">
      <x:c r="A9" s="8" t="str">
        <x:v>Diamantino</x:v>
      </x:c>
      <x:c r="B9" s="8" t="str">
        <x:v>https://sites.google.com/edu.mt.gov.br/drediamantino/in%C3%ADcio</x:v>
      </x:c>
      <x:c r="C9" s="8"/>
      <x:c r="D9" s="8" t="str">
        <x:v>https://sites.google.com/edu.mt.gov.br/drediamantino/chamada-pública</x:v>
      </x:c>
      <x:c r="E9" s="8" t="str">
        <x:v>HTTP 200 no acesso direto</x:v>
      </x:c>
      <x:c r="F9" s="12" t="d">
        <x:v>2026-10-12T12:00:00.000Z</x:v>
      </x:c>
      <x:c r="G9" s="8" t="n">
        <x:v>14</x:v>
      </x:c>
      <x:c r="H9" s="8" t="n">
        <x:v>15</x:v>
      </x:c>
      <x:c r="I9" s="8" t="str">
        <x:v>FORMATO_NUMERICO_AMBIGUO</x:v>
      </x:c>
      <x:c r="J9" s="8" t="str">
        <x:v>Vinculação por identificação do próprio portal e contatos edu.mt.gov.br; relação territorial histórica requer conferência.</x:v>
      </x:c>
    </x:row>
    <x:row r="10" ht="84" customHeight="1">
      <x:c r="A10" s="8" t="str">
        <x:v>Juína</x:v>
      </x:c>
      <x:c r="B10" s="8" t="str">
        <x:v>https://www.drejuina.com.br/</x:v>
      </x:c>
      <x:c r="C10" s="8" t="str">
        <x:v>https://www.drejuina.com.br/editals</x:v>
      </x:c>
      <x:c r="D10" s="8"/>
      <x:c r="E10" s="8" t="str">
        <x:v>HTTP 200 no acesso direto</x:v>
      </x:c>
      <x:c r="F10" s="12" t="d">
        <x:v>2026-10-12T12:00:00.000Z</x:v>
      </x:c>
      <x:c r="G10" s="8" t="n">
        <x:v>10</x:v>
      </x:c>
      <x:c r="H10" s="8" t="n">
        <x:v>12</x:v>
      </x:c>
      <x:c r="I10" s="8" t="str"/>
      <x:c r="J10" s="8" t="str">
        <x:v>Vinculação por identificação do próprio portal e contatos edu.mt.gov.br; relação territorial histórica requer conferência.</x:v>
      </x:c>
    </x:row>
    <x:row r="11" ht="84" customHeight="1">
      <x:c r="A11" s="8" t="str">
        <x:v>Matupá</x:v>
      </x:c>
      <x:c r="B11" s="8" t="str">
        <x:v>https://www.drematupa.com.br/</x:v>
      </x:c>
      <x:c r="C11" s="8" t="str">
        <x:v>https://www.drematupa.com.br/editais/ed51c483-5f37-486e-ab24-5cf32196c4fb</x:v>
      </x:c>
      <x:c r="D11" s="8"/>
      <x:c r="E11" s="8" t="str">
        <x:v>HTTP 200 no acesso direto</x:v>
      </x:c>
      <x:c r="F11" s="12" t="d">
        <x:v>2026-10-12T12:00:00.000Z</x:v>
      </x:c>
      <x:c r="G11" s="8" t="n">
        <x:v>0</x:v>
      </x:c>
      <x:c r="H11" s="8" t="n">
        <x:v>1</x:v>
      </x:c>
      <x:c r="I11" s="8" t="str">
        <x:v>REFERENCIA_HISTORICA; LACUNA_COBERTURA</x:v>
      </x:c>
      <x:c r="J11" s="8" t="str">
        <x:v>Vinculação por identificação do próprio portal e contatos edu.mt.gov.br; relação territorial histórica requer conferência.</x:v>
      </x:c>
    </x:row>
    <x:row r="12" ht="84" customHeight="1">
      <x:c r="A12" s="8" t="str">
        <x:v>Metropolitana</x:v>
      </x:c>
      <x:c r="B12" s="8" t="str">
        <x:v>https://www.dmetropolitana.org/</x:v>
      </x:c>
      <x:c r="C12" s="8"/>
      <x:c r="D12" s="8" t="str">
        <x:v>https://www.dmetropolitana.org/pregao-2025</x:v>
      </x:c>
      <x:c r="E12" s="8" t="str">
        <x:v>HTTP 200 no acesso direto</x:v>
      </x:c>
      <x:c r="F12" s="12" t="d">
        <x:v>2026-10-12T12:00:00.000Z</x:v>
      </x:c>
      <x:c r="G12" s="8" t="n">
        <x:v>0</x:v>
      </x:c>
      <x:c r="H12" s="8" t="n">
        <x:v>22</x:v>
      </x:c>
      <x:c r="I12" s="8" t="str">
        <x:v>FORA_ESCOPO_2026; CONFLITO_EXERCICIO; LACUNA_COBERTURA</x:v>
      </x:c>
      <x:c r="J12" s="8" t="str">
        <x:v>Vinculação por identificação do próprio portal e contatos edu.mt.gov.br; relação territorial histórica requer conferência.</x:v>
      </x:c>
    </x:row>
    <x:row r="13" ht="84" customHeight="1">
      <x:c r="A13" s="8" t="str">
        <x:v>Pontes e Lacerda</x:v>
      </x:c>
      <x:c r="B13" s="8" t="str">
        <x:v>https://dreponteselacerda.com.br/site/</x:v>
      </x:c>
      <x:c r="C13" s="8"/>
      <x:c r="D13" s="8"/>
      <x:c r="E13" s="8" t="str">
        <x:v>HTTP 200 no acesso direto</x:v>
      </x:c>
      <x:c r="F13" s="12" t="d">
        <x:v>2026-10-12T12:00:00.000Z</x:v>
      </x:c>
      <x:c r="G13" s="8" t="n">
        <x:v>1</x:v>
      </x:c>
      <x:c r="H13" s="8" t="n">
        <x:v>1</x:v>
      </x:c>
      <x:c r="I13" s="8" t="str"/>
      <x:c r="J13" s="8" t="str">
        <x:v>Vinculação por identificação do próprio portal e contatos edu.mt.gov.br; relação territorial histórica requer conferência.</x:v>
      </x:c>
    </x:row>
    <x:row r="14" ht="84" customHeight="1">
      <x:c r="A14" s="8" t="str">
        <x:v>Primavera do Leste</x:v>
      </x:c>
      <x:c r="B14" s="8" t="str">
        <x:v>https://sites.google.com/edu.mt.gov.br/drepva/inicio</x:v>
      </x:c>
      <x:c r="C14" s="8" t="str">
        <x:v>https://sites.google.com/edu.mt.gov.br/drepva/editais/editais-e-soliciação-de-documentos/solicitação-de-documentos-escolas-extintas</x:v>
      </x:c>
      <x:c r="D14" s="8" t="str">
        <x:v>https://sites.google.com/edu.mt.gov.br/drepva/coordenadorias/coadm/certames-2025</x:v>
      </x:c>
      <x:c r="E14" s="8" t="str">
        <x:v>HTTP 200 no acesso direto</x:v>
      </x:c>
      <x:c r="F14" s="12" t="d">
        <x:v>2026-10-12T12:00:00.000Z</x:v>
      </x:c>
      <x:c r="G14" s="8" t="n">
        <x:v>2</x:v>
      </x:c>
      <x:c r="H14" s="8" t="n">
        <x:v>42</x:v>
      </x:c>
      <x:c r="I14" s="8" t="str">
        <x:v>FORA_ESCOPO_2026; CONFLITO_EXERCICIO; PENDENTE_EDITAL_COMPLETO</x:v>
      </x:c>
      <x:c r="J14" s="8" t="str">
        <x:v>Vinculação por identificação do próprio portal e contatos edu.mt.gov.br; relação territorial histórica requer conferência.</x:v>
      </x:c>
    </x:row>
    <x:row r="15" ht="84" customHeight="1">
      <x:c r="A15" s="8" t="str">
        <x:v>Rondonópolis</x:v>
      </x:c>
      <x:c r="B15" s="8" t="str">
        <x:v>https://drerondonopolis.com.br/</x:v>
      </x:c>
      <x:c r="C15" s="8" t="str">
        <x:v>https://drerondonopolis.com.br/editais/</x:v>
      </x:c>
      <x:c r="D15" s="8"/>
      <x:c r="E15" s="8" t="str">
        <x:v>HTTP 200 no acesso direto</x:v>
      </x:c>
      <x:c r="F15" s="12" t="d">
        <x:v>2026-10-12T12:00:00.000Z</x:v>
      </x:c>
      <x:c r="G15" s="8" t="n">
        <x:v>0</x:v>
      </x:c>
      <x:c r="H15" s="8" t="n">
        <x:v>1</x:v>
      </x:c>
      <x:c r="I15" s="8" t="str">
        <x:v>REFERENCIA_HISTORICA; LACUNA_COBERTURA</x:v>
      </x:c>
      <x:c r="J15" s="8" t="str">
        <x:v>Vinculação por identificação do próprio portal e contatos edu.mt.gov.br; relação territorial histórica requer conferência.</x:v>
      </x:c>
    </x:row>
    <x:row r="16" ht="84" customHeight="1">
      <x:c r="A16" s="8" t="str">
        <x:v>Sinop</x:v>
      </x:c>
      <x:c r="B16" s="8" t="str">
        <x:v>https://dresinop.com.br/</x:v>
      </x:c>
      <x:c r="C16" s="8" t="str">
        <x:v>https://dresinop.com.br/editais/993c9e6b-8ed8-4697-81b6-2fbf4cfedf2d</x:v>
      </x:c>
      <x:c r="D16" s="8"/>
      <x:c r="E16" s="8" t="str">
        <x:v>HTTP 200 no acesso direto</x:v>
      </x:c>
      <x:c r="F16" s="12" t="d">
        <x:v>2026-10-12T12:00:00.000Z</x:v>
      </x:c>
      <x:c r="G16" s="8" t="n">
        <x:v>18</x:v>
      </x:c>
      <x:c r="H16" s="8" t="n">
        <x:v>18</x:v>
      </x:c>
      <x:c r="I16" s="8" t="str"/>
      <x:c r="J16" s="8" t="str">
        <x:v>Vinculação por identificação do próprio portal e contatos edu.mt.gov.br; relação territorial histórica requer conferência.</x:v>
      </x:c>
    </x:row>
    <x:row r="17" ht="84" customHeight="1">
      <x:c r="A17" s="8" t="str">
        <x:v>Tangará da Serra</x:v>
      </x:c>
      <x:c r="B17" s="8" t="str">
        <x:v>https://sites.google.com/edu.mt.gov.br/dre-tangaradaserra/in%C3%ADcio</x:v>
      </x:c>
      <x:c r="C17" s="8"/>
      <x:c r="D17" s="8" t="str">
        <x:v>https://sites.google.com/edu.mt.gov.br/dre-tangaradaserra/pregão-e-chamada-pública</x:v>
      </x:c>
      <x:c r="E17" s="8" t="str">
        <x:v>HTTP 200 no acesso direto</x:v>
      </x:c>
      <x:c r="F17" s="12" t="d">
        <x:v>2026-10-12T12:00:00.000Z</x:v>
      </x:c>
      <x:c r="G17" s="8" t="n">
        <x:v>0</x:v>
      </x:c>
      <x:c r="H17" s="8" t="n">
        <x:v>0</x:v>
      </x:c>
      <x:c r="I17" s="8" t="str">
        <x:v>PENDENTE_ARQUIVO; LACUNA_COBERTURA</x:v>
      </x:c>
      <x:c r="J17" s="8" t="str">
        <x:v>Vinculação por identificação do próprio portal e contatos edu.mt.gov.br; relação territorial histórica requer conferência.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27689774d5d444c"/>
  </x:tableParts>
</x:worksheet>
</file>

<file path=xl/worksheets/sheet3.xml><?xml version="1.0" encoding="utf-8"?>
<x:worksheet xmlns:x="http://schemas.openxmlformats.org/spreadsheetml/2006/main">
  <x:sheetPr>
    <x:tabColor rgb="FF176B6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48" hidden="0" customWidth="1"/>
    <x:col min="9" max="9" width="18" hidden="0" customWidth="1"/>
    <x:col min="10" max="10" width="24" hidden="0" customWidth="1"/>
    <x:col min="11" max="11" width="24" hidden="0" customWidth="1"/>
    <x:col min="12" max="12" width="18" hidden="0" customWidth="1"/>
    <x:col min="13" max="13" width="48" hidden="0" customWidth="1"/>
    <x:col min="14" max="14" width="48" hidden="0" customWidth="1"/>
    <x:col min="15" max="15" width="48" hidden="0" customWidth="1"/>
    <x:col min="16" max="16" width="48" hidden="0" customWidth="1"/>
    <x:col min="17" max="17" width="24" hidden="0" customWidth="1"/>
    <x:col min="18" max="18" width="24" hidden="0" customWidth="1"/>
    <x:col min="19" max="19" width="48" hidden="0" customWidth="1"/>
    <x:col min="20" max="20" width="48" hidden="0" customWidth="1"/>
  </x:cols>
  <x:sheetData>
    <x:row r="1" ht="34" customHeight="1">
      <x:c r="A1" s="2" t="str">
        <x:v>Inventário de procedimentos</x:v>
      </x:c>
      <x:c r="B1" s="2"/>
      <x:c r="C1" s="2"/>
      <x:c r="D1" s="2"/>
      <x:c r="E1" s="2"/>
      <x:c r="F1" s="2"/>
    </x:row>
    <x:row r="2" ht="44" customHeight="1">
      <x:c r="A2" s="5" t="str">
        <x:v>Uma linha por chave regional + procedimento + número + território. Pregões, conflitos de exercício e referências sem edital ficam identificados.</x:v>
      </x:c>
      <x:c r="B2" s="5"/>
      <x:c r="C2" s="5"/>
      <x:c r="D2" s="5"/>
      <x:c r="E2" s="5"/>
      <x:c r="F2" s="5"/>
    </x:row>
    <x:row r="4" ht="48" customHeight="1">
      <x:c r="A4" s="10" t="str">
        <x:v>ID de inventário</x:v>
      </x:c>
      <x:c r="B4" s="10" t="str">
        <x:v>DRE</x:v>
      </x:c>
      <x:c r="C4" s="10" t="str">
        <x:v>Município / abrangência</x:v>
      </x:c>
      <x:c r="D4" s="10" t="str">
        <x:v>Escola ou unidade executora</x:v>
      </x:c>
      <x:c r="E4" s="10" t="str">
        <x:v>CNPJ</x:v>
      </x:c>
      <x:c r="F4" s="10" t="str">
        <x:v>Número do edital</x:v>
      </x:c>
      <x:c r="G4" s="10" t="str">
        <x:v>Ano da numeração</x:v>
      </x:c>
      <x:c r="H4" s="10" t="str">
        <x:v>Data de publicação</x:v>
      </x:c>
      <x:c r="I4" s="10" t="str">
        <x:v>Exercício atendido</x:v>
      </x:c>
      <x:c r="J4" s="10" t="str">
        <x:v>Objeto</x:v>
      </x:c>
      <x:c r="K4" s="10" t="str">
        <x:v>Tipo de procedimento</x:v>
      </x:c>
      <x:c r="L4" s="10" t="str">
        <x:v>Valor estimado</x:v>
      </x:c>
      <x:c r="M4" s="10" t="str">
        <x:v>Situação</x:v>
      </x:c>
      <x:c r="N4" s="10" t="str">
        <x:v>URL da publicação</x:v>
      </x:c>
      <x:c r="O4" s="10" t="str">
        <x:v>URL direta do edital / referência</x:v>
      </x:c>
      <x:c r="P4" s="10" t="str">
        <x:v>Arquivo local</x:v>
      </x:c>
      <x:c r="Q4" s="10" t="str">
        <x:v>Status de acesso</x:v>
      </x:c>
      <x:c r="R4" s="10" t="str">
        <x:v>Status da elegibilidade</x:v>
      </x:c>
      <x:c r="S4" s="10" t="str">
        <x:v>Justificativa</x:v>
      </x:c>
      <x:c r="T4" s="10" t="str">
        <x:v>Observações</x:v>
      </x:c>
    </x:row>
    <x:row r="5" ht="84" customHeight="1">
      <x:c r="A5" s="8" t="str">
        <x:v>ED-0001</x:v>
      </x:c>
      <x:c r="B5" s="8" t="str">
        <x:v>Diamantino</x:v>
      </x:c>
      <x:c r="C5" s="8" t="str">
        <x:v>Rosário Oeste</x:v>
      </x:c>
      <x:c r="D5" s="8"/>
      <x:c r="E5" s="8"/>
      <x:c r="F5" s="8" t="str">
        <x:v>030/2024</x:v>
      </x:c>
      <x:c r="G5" s="8" t="n">
        <x:v>2024</x:v>
      </x:c>
      <x:c r="H5" s="8"/>
      <x:c r="I5" s="8" t="n">
        <x:v>2025</x:v>
      </x:c>
      <x:c r="J5" s="8" t="str">
        <x:v>Aquisição de gêneros alimentícios para alimentação escolar da agricultura familiar</x:v>
      </x:c>
      <x:c r="K5" s="8" t="str">
        <x:v>Chamada pública</x:v>
      </x:c>
      <x:c r="L5" s="15"/>
      <x:c r="M5" s="8" t="str">
        <x:v>Histórico localizado; situação administrativa não inferida</x:v>
      </x:c>
      <x:c r="N5" s="8" t="str">
        <x:v>https://sites.google.com/edu.mt.gov.br/drediamantino/chamada-pública</x:v>
      </x:c>
      <x:c r="O5" s="8" t="str">
        <x:v>https://drive.google.com/file/d/1c78ZFNNYoccuvL0jU8rWp_R_xz1xMS4Z/view?usp=drivesdk</x:v>
      </x:c>
      <x:c r="P5" s="8" t="str">
        <x:v>PNAE_MT_2025/05_DIAMANTINO/DOC-0001_DOC-0001.pdf</x:v>
      </x:c>
      <x:c r="Q5" s="8" t="str">
        <x:v>BAIXADO_VALIDADO</x:v>
      </x:c>
      <x:c r="R5" s="8" t="str">
        <x:v>ELEGIVEL_2025</x:v>
      </x:c>
      <x:c r="S5" s="8" t="str">
        <x:v>Ano letivo de 2025 confirmado no PDF; dados extraídos sujeitos à conferência administrativa.</x:v>
      </x:c>
      <x:c r="T5" s="8" t="str">
        <x:v>Escopo territorial preservado. CNPJ da DRE não substitui CNPJ da escola/CDCE.</x:v>
      </x:c>
    </x:row>
    <x:row r="6" ht="84" customHeight="1">
      <x:c r="A6" s="8" t="str">
        <x:v>ED-0002</x:v>
      </x:c>
      <x:c r="B6" s="8" t="str">
        <x:v>Diamantino</x:v>
      </x:c>
      <x:c r="C6" s="8" t="str">
        <x:v>Nobres</x:v>
      </x:c>
      <x:c r="D6" s="8"/>
      <x:c r="E6" s="8"/>
      <x:c r="F6" s="8" t="str">
        <x:v>029/2024</x:v>
      </x:c>
      <x:c r="G6" s="8" t="n">
        <x:v>2024</x:v>
      </x:c>
      <x:c r="H6" s="8"/>
      <x:c r="I6" s="8" t="n">
        <x:v>2025</x:v>
      </x:c>
      <x:c r="J6" s="8" t="str">
        <x:v>Aquisição de gêneros alimentícios para alimentação escolar da agricultura familiar</x:v>
      </x:c>
      <x:c r="K6" s="8" t="str">
        <x:v>Chamada pública</x:v>
      </x:c>
      <x:c r="L6" s="15"/>
      <x:c r="M6" s="8" t="str">
        <x:v>Histórico localizado; situação administrativa não inferida</x:v>
      </x:c>
      <x:c r="N6" s="8" t="str">
        <x:v>https://sites.google.com/edu.mt.gov.br/drediamantino/chamada-pública</x:v>
      </x:c>
      <x:c r="O6" s="8" t="str">
        <x:v>https://drive.google.com/file/d/1zCzXCy_6UQ-wp3fF82YbY2eXyOdWj-LR/view?usp=drivesdk</x:v>
      </x:c>
      <x:c r="P6" s="8" t="str">
        <x:v>PNAE_MT_2025/05_DIAMANTINO/DOC-0002_DOC-0002.pdf</x:v>
      </x:c>
      <x:c r="Q6" s="8" t="str">
        <x:v>BAIXADO_VALIDADO</x:v>
      </x:c>
      <x:c r="R6" s="8" t="str">
        <x:v>ELEGIVEL_2025</x:v>
      </x:c>
      <x:c r="S6" s="8" t="str">
        <x:v>Ano letivo de 2025 confirmado no PDF; dados extraídos sujeitos à conferência administrativa.</x:v>
      </x:c>
      <x:c r="T6" s="8" t="str">
        <x:v>Escopo territorial preservado. CNPJ da DRE não substitui CNPJ da escola/CDCE.</x:v>
      </x:c>
    </x:row>
    <x:row r="7" ht="84" customHeight="1">
      <x:c r="A7" s="8" t="str">
        <x:v>ED-0003</x:v>
      </x:c>
      <x:c r="B7" s="8" t="str">
        <x:v>Diamantino</x:v>
      </x:c>
      <x:c r="C7" s="8" t="str">
        <x:v>Santo Afonso</x:v>
      </x:c>
      <x:c r="D7" s="8"/>
      <x:c r="E7" s="8"/>
      <x:c r="F7" s="8" t="str">
        <x:v>028/2024</x:v>
      </x:c>
      <x:c r="G7" s="8" t="n">
        <x:v>2024</x:v>
      </x:c>
      <x:c r="H7" s="8"/>
      <x:c r="I7" s="8" t="n">
        <x:v>2025</x:v>
      </x:c>
      <x:c r="J7" s="8" t="str">
        <x:v>Aquisição de gêneros alimentícios para alimentação escolar da agricultura familiar</x:v>
      </x:c>
      <x:c r="K7" s="8" t="str">
        <x:v>Chamada pública</x:v>
      </x:c>
      <x:c r="L7" s="15"/>
      <x:c r="M7" s="8" t="str">
        <x:v>Histórico localizado; situação administrativa não inferida</x:v>
      </x:c>
      <x:c r="N7" s="8" t="str">
        <x:v>https://sites.google.com/edu.mt.gov.br/drediamantino/chamada-pública</x:v>
      </x:c>
      <x:c r="O7" s="8" t="str">
        <x:v>https://drive.google.com/file/d/1fCfEBhm8epesXks5VK9fFLLFTKhYCGWF/view?usp=drivesdk</x:v>
      </x:c>
      <x:c r="P7" s="8" t="str">
        <x:v>PNAE_MT_2025/05_DIAMANTINO/DOC-0003_DOC-0003.pdf</x:v>
      </x:c>
      <x:c r="Q7" s="8" t="str">
        <x:v>BAIXADO_VALIDADO</x:v>
      </x:c>
      <x:c r="R7" s="8" t="str">
        <x:v>ELEGIVEL_2025</x:v>
      </x:c>
      <x:c r="S7" s="8" t="str">
        <x:v>Ano letivo de 2025 confirmado no PDF; dados extraídos sujeitos à conferência administrativa.</x:v>
      </x:c>
      <x:c r="T7" s="8" t="str">
        <x:v>Escopo territorial preservado. CNPJ da DRE não substitui CNPJ da escola/CDCE.</x:v>
      </x:c>
    </x:row>
    <x:row r="8" ht="84" customHeight="1">
      <x:c r="A8" s="8" t="str">
        <x:v>ED-0004</x:v>
      </x:c>
      <x:c r="B8" s="8" t="str">
        <x:v>Diamantino</x:v>
      </x:c>
      <x:c r="C8" s="8" t="str">
        <x:v>Nova Marilândia</x:v>
      </x:c>
      <x:c r="D8" s="8"/>
      <x:c r="E8" s="8"/>
      <x:c r="F8" s="8" t="str">
        <x:v>027/2024</x:v>
      </x:c>
      <x:c r="G8" s="8" t="n">
        <x:v>2024</x:v>
      </x:c>
      <x:c r="H8" s="8"/>
      <x:c r="I8" s="8" t="n">
        <x:v>2025</x:v>
      </x:c>
      <x:c r="J8" s="8" t="str">
        <x:v>Aquisição de gêneros alimentícios para alimentação escolar da agricultura familiar</x:v>
      </x:c>
      <x:c r="K8" s="8" t="str">
        <x:v>Chamada pública</x:v>
      </x:c>
      <x:c r="L8" s="15"/>
      <x:c r="M8" s="8" t="str">
        <x:v>Histórico localizado; situação administrativa não inferida</x:v>
      </x:c>
      <x:c r="N8" s="8" t="str">
        <x:v>https://sites.google.com/edu.mt.gov.br/drediamantino/chamada-pública</x:v>
      </x:c>
      <x:c r="O8" s="8" t="str">
        <x:v>https://drive.google.com/file/d/1C0P8--EuzFhoFNhYrgXsDBxoLLu1n0d9/view?usp=drivesdk</x:v>
      </x:c>
      <x:c r="P8" s="8" t="str">
        <x:v>PNAE_MT_2025/05_DIAMANTINO/DOC-0004_DOC-0004.pdf</x:v>
      </x:c>
      <x:c r="Q8" s="8" t="str">
        <x:v>BAIXADO_VALIDADO</x:v>
      </x:c>
      <x:c r="R8" s="8" t="str">
        <x:v>ELEGIVEL_2025</x:v>
      </x:c>
      <x:c r="S8" s="8" t="str">
        <x:v>Ano letivo de 2025 confirmado no PDF; dados extraídos sujeitos à conferência administrativa.</x:v>
      </x:c>
      <x:c r="T8" s="8" t="str">
        <x:v>Escopo territorial preservado. CNPJ da DRE não substitui CNPJ da escola/CDCE.</x:v>
      </x:c>
    </x:row>
    <x:row r="9" ht="84" customHeight="1">
      <x:c r="A9" s="8" t="str">
        <x:v>ED-0005</x:v>
      </x:c>
      <x:c r="B9" s="8" t="str">
        <x:v>Diamantino</x:v>
      </x:c>
      <x:c r="C9" s="8" t="str">
        <x:v>Nortelândia</x:v>
      </x:c>
      <x:c r="D9" s="8"/>
      <x:c r="E9" s="8"/>
      <x:c r="F9" s="8" t="str">
        <x:v>026/2024</x:v>
      </x:c>
      <x:c r="G9" s="8" t="n">
        <x:v>2024</x:v>
      </x:c>
      <x:c r="H9" s="8"/>
      <x:c r="I9" s="8" t="n">
        <x:v>2025</x:v>
      </x:c>
      <x:c r="J9" s="8" t="str">
        <x:v>Aquisição de gêneros alimentícios para alimentação escolar da agricultura familiar</x:v>
      </x:c>
      <x:c r="K9" s="8" t="str">
        <x:v>Chamada pública</x:v>
      </x:c>
      <x:c r="L9" s="15"/>
      <x:c r="M9" s="8" t="str">
        <x:v>Histórico localizado; situação administrativa não inferida</x:v>
      </x:c>
      <x:c r="N9" s="8" t="str">
        <x:v>https://sites.google.com/edu.mt.gov.br/drediamantino/chamada-pública</x:v>
      </x:c>
      <x:c r="O9" s="8" t="str">
        <x:v>https://drive.google.com/file/d/1tTAVdECBY5ZvvdzVyxeay_bBqctcchwf/view?usp=drivesdk</x:v>
      </x:c>
      <x:c r="P9" s="8" t="str">
        <x:v>PNAE_MT_2025/05_DIAMANTINO/DOC-0005_DOC-0005.pdf</x:v>
      </x:c>
      <x:c r="Q9" s="8" t="str">
        <x:v>BAIXADO_VALIDADO</x:v>
      </x:c>
      <x:c r="R9" s="8" t="str">
        <x:v>ELEGIVEL_2025</x:v>
      </x:c>
      <x:c r="S9" s="8" t="str">
        <x:v>Ano letivo de 2025 confirmado no PDF; dados extraídos sujeitos à conferência administrativa.</x:v>
      </x:c>
      <x:c r="T9" s="8" t="str">
        <x:v>Escopo territorial preservado. CNPJ da DRE não substitui CNPJ da escola/CDCE.</x:v>
      </x:c>
    </x:row>
    <x:row r="10" ht="84" customHeight="1">
      <x:c r="A10" s="8" t="str">
        <x:v>ED-0006</x:v>
      </x:c>
      <x:c r="B10" s="8" t="str">
        <x:v>Diamantino</x:v>
      </x:c>
      <x:c r="C10" s="8" t="str">
        <x:v>Arenápolis</x:v>
      </x:c>
      <x:c r="D10" s="8"/>
      <x:c r="E10" s="8"/>
      <x:c r="F10" s="8" t="str">
        <x:v>025/2024</x:v>
      </x:c>
      <x:c r="G10" s="8" t="n">
        <x:v>2024</x:v>
      </x:c>
      <x:c r="H10" s="8"/>
      <x:c r="I10" s="8" t="n">
        <x:v>2025</x:v>
      </x:c>
      <x:c r="J10" s="8" t="str">
        <x:v>Aquisição de gêneros alimentícios para alimentação escolar da agricultura familiar</x:v>
      </x:c>
      <x:c r="K10" s="8" t="str">
        <x:v>Chamada pública</x:v>
      </x:c>
      <x:c r="L10" s="15"/>
      <x:c r="M10" s="8" t="str">
        <x:v>Histórico localizado; situação administrativa não inferida</x:v>
      </x:c>
      <x:c r="N10" s="8" t="str">
        <x:v>https://sites.google.com/edu.mt.gov.br/drediamantino/chamada-pública</x:v>
      </x:c>
      <x:c r="O10" s="8" t="str">
        <x:v>https://drive.google.com/file/d/1jxuJW5kNzwha3Fi061AMXFEQlu_d-n41/view?usp=drivesdk</x:v>
      </x:c>
      <x:c r="P10" s="8" t="str">
        <x:v>PNAE_MT_2025/05_DIAMANTINO/DOC-0006_DOC-0006.pdf</x:v>
      </x:c>
      <x:c r="Q10" s="8" t="str">
        <x:v>BAIXADO_VALIDADO</x:v>
      </x:c>
      <x:c r="R10" s="8" t="str">
        <x:v>ELEGIVEL_2025</x:v>
      </x:c>
      <x:c r="S10" s="8" t="str">
        <x:v>Ano letivo de 2025 confirmado no PDF; dados extraídos sujeitos à conferência administrativa.</x:v>
      </x:c>
      <x:c r="T10" s="8" t="str">
        <x:v>Escopo territorial preservado. CNPJ da DRE não substitui CNPJ da escola/CDCE.</x:v>
      </x:c>
    </x:row>
    <x:row r="11" ht="84" customHeight="1">
      <x:c r="A11" s="8" t="str">
        <x:v>ED-0007</x:v>
      </x:c>
      <x:c r="B11" s="8" t="str">
        <x:v>Diamantino</x:v>
      </x:c>
      <x:c r="C11" s="8" t="str">
        <x:v>Alto Paraguai - urbano</x:v>
      </x:c>
      <x:c r="D11" s="8"/>
      <x:c r="E11" s="8"/>
      <x:c r="F11" s="8" t="str">
        <x:v>024/2024</x:v>
      </x:c>
      <x:c r="G11" s="8" t="n">
        <x:v>2024</x:v>
      </x:c>
      <x:c r="H11" s="8"/>
      <x:c r="I11" s="8" t="n">
        <x:v>2025</x:v>
      </x:c>
      <x:c r="J11" s="8" t="str">
        <x:v>Aquisição de gêneros alimentícios para alimentação escolar da agricultura familiar</x:v>
      </x:c>
      <x:c r="K11" s="8" t="str">
        <x:v>Chamada pública</x:v>
      </x:c>
      <x:c r="L11" s="15"/>
      <x:c r="M11" s="8" t="str">
        <x:v>Histórico localizado; situação administrativa não inferida</x:v>
      </x:c>
      <x:c r="N11" s="8" t="str">
        <x:v>https://sites.google.com/edu.mt.gov.br/drediamantino/chamada-pública</x:v>
      </x:c>
      <x:c r="O11" s="8" t="str">
        <x:v>https://drive.google.com/file/d/10rhsdxf-aU1663wDNiq3zHTRxT23wPI0/view?usp=drivesdk</x:v>
      </x:c>
      <x:c r="P11" s="8" t="str">
        <x:v>PNAE_MT_2025/05_DIAMANTINO/DOC-0007_DOC-0007.pdf</x:v>
      </x:c>
      <x:c r="Q11" s="8" t="str">
        <x:v>BAIXADO_VALIDADO</x:v>
      </x:c>
      <x:c r="R11" s="8" t="str">
        <x:v>ELEGIVEL_2025</x:v>
      </x:c>
      <x:c r="S11" s="8" t="str">
        <x:v>Ano letivo de 2025 confirmado no PDF; dados extraídos sujeitos à conferência administrativa.</x:v>
      </x:c>
      <x:c r="T11" s="8" t="str">
        <x:v>Escopo territorial preservado. CNPJ da DRE não substitui CNPJ da escola/CDCE.</x:v>
      </x:c>
    </x:row>
    <x:row r="12" ht="84" customHeight="1">
      <x:c r="A12" s="8" t="str">
        <x:v>ED-0008</x:v>
      </x:c>
      <x:c r="B12" s="8" t="str">
        <x:v>Diamantino</x:v>
      </x:c>
      <x:c r="C12" s="8" t="str">
        <x:v>Nova Mutum - campo</x:v>
      </x:c>
      <x:c r="D12" s="8"/>
      <x:c r="E12" s="8"/>
      <x:c r="F12" s="8" t="str">
        <x:v>022/2024</x:v>
      </x:c>
      <x:c r="G12" s="8" t="n">
        <x:v>2024</x:v>
      </x:c>
      <x:c r="H12" s="8"/>
      <x:c r="I12" s="8" t="n">
        <x:v>2025</x:v>
      </x:c>
      <x:c r="J12" s="8" t="str">
        <x:v>Aquisição de gêneros alimentícios para alimentação escolar da agricultura familiar</x:v>
      </x:c>
      <x:c r="K12" s="8" t="str">
        <x:v>Chamada pública</x:v>
      </x:c>
      <x:c r="L12" s="15"/>
      <x:c r="M12" s="8" t="str">
        <x:v>Histórico localizado; situação administrativa não inferida</x:v>
      </x:c>
      <x:c r="N12" s="8" t="str">
        <x:v>https://sites.google.com/edu.mt.gov.br/drediamantino/chamada-pública</x:v>
      </x:c>
      <x:c r="O12" s="8" t="str">
        <x:v>https://drive.google.com/file/d/1DKNfN8WjoU90Qoe6Mc200hVpIrlpV9V8/view?usp=drivesdk</x:v>
      </x:c>
      <x:c r="P12" s="8" t="str">
        <x:v>PNAE_MT_2025/05_DIAMANTINO/DOC-0008_DOC-0008.pdf</x:v>
      </x:c>
      <x:c r="Q12" s="8" t="str">
        <x:v>BAIXADO_VALIDADO</x:v>
      </x:c>
      <x:c r="R12" s="8" t="str">
        <x:v>ELEGIVEL_2025</x:v>
      </x:c>
      <x:c r="S12" s="8" t="str">
        <x:v>Ano letivo de 2025 confirmado no PDF; dados extraídos sujeitos à conferência administrativa.</x:v>
      </x:c>
      <x:c r="T12" s="8" t="str">
        <x:v>Escopo territorial preservado. CNPJ da DRE não substitui CNPJ da escola/CDCE.</x:v>
      </x:c>
    </x:row>
    <x:row r="13" ht="84" customHeight="1">
      <x:c r="A13" s="8" t="str">
        <x:v>ED-0009</x:v>
      </x:c>
      <x:c r="B13" s="8" t="str">
        <x:v>Diamantino</x:v>
      </x:c>
      <x:c r="C13" s="8" t="str">
        <x:v>Nova Mutum - urbano</x:v>
      </x:c>
      <x:c r="D13" s="8"/>
      <x:c r="E13" s="8"/>
      <x:c r="F13" s="8" t="str">
        <x:v>023/2024</x:v>
      </x:c>
      <x:c r="G13" s="8" t="n">
        <x:v>2024</x:v>
      </x:c>
      <x:c r="H13" s="8"/>
      <x:c r="I13" s="8" t="n">
        <x:v>2025</x:v>
      </x:c>
      <x:c r="J13" s="8" t="str">
        <x:v>Aquisição de gêneros alimentícios para alimentação escolar da agricultura familiar</x:v>
      </x:c>
      <x:c r="K13" s="8" t="str">
        <x:v>Chamada pública</x:v>
      </x:c>
      <x:c r="L13" s="15"/>
      <x:c r="M13" s="8" t="str">
        <x:v>Histórico localizado; situação administrativa não inferida</x:v>
      </x:c>
      <x:c r="N13" s="8" t="str">
        <x:v>https://sites.google.com/edu.mt.gov.br/drediamantino/chamada-pública</x:v>
      </x:c>
      <x:c r="O13" s="8" t="str">
        <x:v>https://drive.google.com/file/d/1l23MmDMY2xhil3ElaXwTmdVUTuyn7Nkz/view?usp=drivesdk</x:v>
      </x:c>
      <x:c r="P13" s="8" t="str">
        <x:v>PNAE_MT_2025/05_DIAMANTINO/DOC-0009_DOC-0009.pdf</x:v>
      </x:c>
      <x:c r="Q13" s="8" t="str">
        <x:v>BAIXADO_VALIDADO</x:v>
      </x:c>
      <x:c r="R13" s="8" t="str">
        <x:v>ELEGIVEL_2025</x:v>
      </x:c>
      <x:c r="S13" s="8" t="str">
        <x:v>Ano letivo de 2025 confirmado no PDF; dados extraídos sujeitos à conferência administrativa.</x:v>
      </x:c>
      <x:c r="T13" s="8" t="str">
        <x:v>Escopo territorial preservado. CNPJ da DRE não substitui CNPJ da escola/CDCE.</x:v>
      </x:c>
    </x:row>
    <x:row r="14" ht="84" customHeight="1">
      <x:c r="A14" s="8" t="str">
        <x:v>ED-0010</x:v>
      </x:c>
      <x:c r="B14" s="8" t="str">
        <x:v>Diamantino</x:v>
      </x:c>
      <x:c r="C14" s="8" t="str">
        <x:v>Santa Rita do Trivelato</x:v>
      </x:c>
      <x:c r="D14" s="8"/>
      <x:c r="E14" s="8"/>
      <x:c r="F14" s="8" t="str">
        <x:v>021/2024</x:v>
      </x:c>
      <x:c r="G14" s="8" t="n">
        <x:v>2024</x:v>
      </x:c>
      <x:c r="H14" s="8"/>
      <x:c r="I14" s="8" t="n">
        <x:v>2025</x:v>
      </x:c>
      <x:c r="J14" s="8" t="str">
        <x:v>Aquisição de gêneros alimentícios para alimentação escolar da agricultura familiar</x:v>
      </x:c>
      <x:c r="K14" s="8" t="str">
        <x:v>Chamada pública</x:v>
      </x:c>
      <x:c r="L14" s="15"/>
      <x:c r="M14" s="8" t="str">
        <x:v>Histórico localizado; situação administrativa não inferida</x:v>
      </x:c>
      <x:c r="N14" s="8" t="str">
        <x:v>https://sites.google.com/edu.mt.gov.br/drediamantino/chamada-pública</x:v>
      </x:c>
      <x:c r="O14" s="8" t="str">
        <x:v>https://drive.google.com/file/d/19CirP-lpUU2rFgsXRoXjuHz8riBBT2Z7/view?usp=sharing</x:v>
      </x:c>
      <x:c r="P14" s="8" t="str">
        <x:v>PNAE_MT_2025/05_DIAMANTINO/DOC-0010_DOC-0010.pdf</x:v>
      </x:c>
      <x:c r="Q14" s="8" t="str">
        <x:v>BAIXADO_VALIDADO</x:v>
      </x:c>
      <x:c r="R14" s="8" t="str">
        <x:v>ELEGIVEL_2025</x:v>
      </x:c>
      <x:c r="S14" s="8" t="str">
        <x:v>Ano letivo de 2025 confirmado no PDF; dados extraídos sujeitos à conferência administrativa.</x:v>
      </x:c>
      <x:c r="T14" s="8" t="str">
        <x:v>Escopo territorial preservado. CNPJ da DRE não substitui CNPJ da escola/CDCE.</x:v>
      </x:c>
    </x:row>
    <x:row r="15" ht="84" customHeight="1">
      <x:c r="A15" s="8" t="str">
        <x:v>ED-0011</x:v>
      </x:c>
      <x:c r="B15" s="8" t="str">
        <x:v>Diamantino</x:v>
      </x:c>
      <x:c r="C15" s="8" t="str">
        <x:v>Alto Paraguai - campo</x:v>
      </x:c>
      <x:c r="D15" s="8"/>
      <x:c r="E15" s="8"/>
      <x:c r="F15" s="8" t="str">
        <x:v>019/2024</x:v>
      </x:c>
      <x:c r="G15" s="8" t="n">
        <x:v>2024</x:v>
      </x:c>
      <x:c r="H15" s="8"/>
      <x:c r="I15" s="8" t="n">
        <x:v>2025</x:v>
      </x:c>
      <x:c r="J15" s="8" t="str">
        <x:v>Aquisição de gêneros alimentícios para alimentação escolar da agricultura familiar</x:v>
      </x:c>
      <x:c r="K15" s="8" t="str">
        <x:v>Chamada pública</x:v>
      </x:c>
      <x:c r="L15" s="15"/>
      <x:c r="M15" s="8" t="str">
        <x:v>Histórico localizado; situação administrativa não inferida</x:v>
      </x:c>
      <x:c r="N15" s="8" t="str">
        <x:v>https://sites.google.com/edu.mt.gov.br/drediamantino/chamada-pública</x:v>
      </x:c>
      <x:c r="O15" s="8" t="str">
        <x:v>https://drive.google.com/file/d/15Q4vZ2MBLMQnBSvxZYzipIfVArnTMOAs/view?usp=drivesdk</x:v>
      </x:c>
      <x:c r="P15" s="8" t="str">
        <x:v>PNAE_MT_2025/05_DIAMANTINO/DOC-0012_DOC-0012.pdf</x:v>
      </x:c>
      <x:c r="Q15" s="8" t="str">
        <x:v>BAIXADO_VALIDADO</x:v>
      </x:c>
      <x:c r="R15" s="8" t="str">
        <x:v>ELEGIVEL_2025</x:v>
      </x:c>
      <x:c r="S15" s="8" t="str">
        <x:v>Ano letivo de 2025 confirmado no PDF; dados extraídos sujeitos à conferência administrativa.</x:v>
      </x:c>
      <x:c r="T15" s="8" t="str">
        <x:v>Escopo territorial preservado. CNPJ da DRE não substitui CNPJ da escola/CDCE.</x:v>
      </x:c>
    </x:row>
    <x:row r="16" ht="84" customHeight="1">
      <x:c r="A16" s="8" t="str">
        <x:v>ED-0012</x:v>
      </x:c>
      <x:c r="B16" s="8" t="str">
        <x:v>Diamantino</x:v>
      </x:c>
      <x:c r="C16" s="8" t="str">
        <x:v>Diamantino</x:v>
      </x:c>
      <x:c r="D16" s="8"/>
      <x:c r="E16" s="8"/>
      <x:c r="F16" s="8" t="str">
        <x:v>020/2024</x:v>
      </x:c>
      <x:c r="G16" s="8" t="n">
        <x:v>2024</x:v>
      </x:c>
      <x:c r="H16" s="8"/>
      <x:c r="I16" s="8" t="n">
        <x:v>2025</x:v>
      </x:c>
      <x:c r="J16" s="8" t="str">
        <x:v>Aquisição de gêneros alimentícios para alimentação escolar da agricultura familiar</x:v>
      </x:c>
      <x:c r="K16" s="8" t="str">
        <x:v>Chamada pública</x:v>
      </x:c>
      <x:c r="L16" s="15"/>
      <x:c r="M16" s="8" t="str">
        <x:v>Histórico localizado; situação administrativa não inferida</x:v>
      </x:c>
      <x:c r="N16" s="8" t="str">
        <x:v>https://sites.google.com/edu.mt.gov.br/drediamantino/chamada-pública</x:v>
      </x:c>
      <x:c r="O16" s="8" t="str">
        <x:v>https://drive.google.com/file/d/19yUaeovVMqUo_PZOOxBKKSoG74iSMpW5/view?usp=drivesdk</x:v>
      </x:c>
      <x:c r="P16" s="8" t="str">
        <x:v>PNAE_MT_2025/05_DIAMANTINO/DOC-0013_DOC-0013.pdf</x:v>
      </x:c>
      <x:c r="Q16" s="8" t="str">
        <x:v>BAIXADO_VALIDADO</x:v>
      </x:c>
      <x:c r="R16" s="8" t="str">
        <x:v>ELEGIVEL_2025</x:v>
      </x:c>
      <x:c r="S16" s="8" t="str">
        <x:v>Ano letivo de 2025 confirmado no PDF; dados extraídos sujeitos à conferência administrativa.</x:v>
      </x:c>
      <x:c r="T16" s="8" t="str">
        <x:v>Escopo territorial preservado. CNPJ da DRE não substitui CNPJ da escola/CDCE.</x:v>
      </x:c>
    </x:row>
    <x:row r="17" ht="84" customHeight="1">
      <x:c r="A17" s="8" t="str">
        <x:v>ED-0013</x:v>
      </x:c>
      <x:c r="B17" s="8" t="str">
        <x:v>Diamantino</x:v>
      </x:c>
      <x:c r="C17" s="8" t="str">
        <x:v>Nova Maringá</x:v>
      </x:c>
      <x:c r="D17" s="8"/>
      <x:c r="E17" s="8"/>
      <x:c r="F17" s="8" t="str">
        <x:v>018/2024</x:v>
      </x:c>
      <x:c r="G17" s="8" t="n">
        <x:v>2024</x:v>
      </x:c>
      <x:c r="H17" s="8"/>
      <x:c r="I17" s="8" t="n">
        <x:v>2025</x:v>
      </x:c>
      <x:c r="J17" s="8" t="str">
        <x:v>Aquisição de gêneros alimentícios para alimentação escolar da agricultura familiar</x:v>
      </x:c>
      <x:c r="K17" s="8" t="str">
        <x:v>Chamada pública</x:v>
      </x:c>
      <x:c r="L17" s="15"/>
      <x:c r="M17" s="8" t="str">
        <x:v>Histórico localizado; situação administrativa não inferida</x:v>
      </x:c>
      <x:c r="N17" s="8" t="str">
        <x:v>https://sites.google.com/edu.mt.gov.br/drediamantino/chamada-pública</x:v>
      </x:c>
      <x:c r="O17" s="8" t="str">
        <x:v>https://drive.google.com/file/d/1Zi9-sR8YW0YToVfPQb1pnEQeAk-xgPJA/view?usp=drivesdk</x:v>
      </x:c>
      <x:c r="P17" s="8" t="str">
        <x:v>PNAE_MT_2025/05_DIAMANTINO/DOC-0014_DOC-0014.pdf</x:v>
      </x:c>
      <x:c r="Q17" s="8" t="str">
        <x:v>BAIXADO_VALIDADO</x:v>
      </x:c>
      <x:c r="R17" s="8" t="str">
        <x:v>ELEGIVEL_2025</x:v>
      </x:c>
      <x:c r="S17" s="8" t="str">
        <x:v>Ano letivo de 2025 confirmado no PDF; dados extraídos sujeitos à conferência administrativa.</x:v>
      </x:c>
      <x:c r="T17" s="8" t="str">
        <x:v>Escopo territorial preservado. CNPJ da DRE não substitui CNPJ da escola/CDCE.</x:v>
      </x:c>
    </x:row>
    <x:row r="18" ht="84" customHeight="1">
      <x:c r="A18" s="8" t="str">
        <x:v>ED-0014</x:v>
      </x:c>
      <x:c r="B18" s="8" t="str">
        <x:v>Diamantino</x:v>
      </x:c>
      <x:c r="C18" s="8" t="str">
        <x:v>São José do Rio Claro</x:v>
      </x:c>
      <x:c r="D18" s="8"/>
      <x:c r="E18" s="8"/>
      <x:c r="F18" s="8" t="str">
        <x:v>017/2024</x:v>
      </x:c>
      <x:c r="G18" s="8" t="n">
        <x:v>2024</x:v>
      </x:c>
      <x:c r="H18" s="8"/>
      <x:c r="I18" s="8" t="n">
        <x:v>2025</x:v>
      </x:c>
      <x:c r="J18" s="8" t="str">
        <x:v>Aquisição de gêneros alimentícios para alimentação escolar da agricultura familiar</x:v>
      </x:c>
      <x:c r="K18" s="8" t="str">
        <x:v>Chamada pública</x:v>
      </x:c>
      <x:c r="L18" s="15"/>
      <x:c r="M18" s="8" t="str">
        <x:v>Histórico localizado; situação administrativa não inferida</x:v>
      </x:c>
      <x:c r="N18" s="8" t="str">
        <x:v>https://sites.google.com/edu.mt.gov.br/drediamantino/chamada-pública</x:v>
      </x:c>
      <x:c r="O18" s="8" t="str">
        <x:v>https://drive.google.com/file/d/1a5ZMBmaaMcymd9NyW_cxUh8axSsYgOZa/view?usp=drivesdk</x:v>
      </x:c>
      <x:c r="P18" s="8" t="str">
        <x:v>PNAE_MT_2025/05_DIAMANTINO/DOC-0015_DOC-0015.pdf</x:v>
      </x:c>
      <x:c r="Q18" s="8" t="str">
        <x:v>BAIXADO_VALIDADO</x:v>
      </x:c>
      <x:c r="R18" s="8" t="str">
        <x:v>ELEGIVEL_2025</x:v>
      </x:c>
      <x:c r="S18" s="8" t="str">
        <x:v>Ano letivo de 2025 confirmado no PDF; dados extraídos sujeitos à conferência administrativa.</x:v>
      </x:c>
      <x:c r="T18" s="8" t="str">
        <x:v>Escopo territorial preservado. CNPJ da DRE não substitui CNPJ da escola/CDCE.</x:v>
      </x:c>
    </x:row>
    <x:row r="19" ht="84" customHeight="1">
      <x:c r="A19" s="8" t="str">
        <x:v>ED-0015</x:v>
      </x:c>
      <x:c r="B19" s="8" t="str">
        <x:v>Juína</x:v>
      </x:c>
      <x:c r="C19" s="8" t="str">
        <x:v>Castanheira</x:v>
      </x:c>
      <x:c r="D19" s="8"/>
      <x:c r="E19" s="8"/>
      <x:c r="F19" s="8" t="str">
        <x:v>026/2024</x:v>
      </x:c>
      <x:c r="G19" s="8" t="n">
        <x:v>2024</x:v>
      </x:c>
      <x:c r="H19" s="8"/>
      <x:c r="I19" s="8" t="n">
        <x:v>2025</x:v>
      </x:c>
      <x:c r="J19" s="8" t="str">
        <x:v>Aquisição de gêneros alimentícios para alimentação escolar da agricultura familiar</x:v>
      </x:c>
      <x:c r="K19" s="8" t="str">
        <x:v>Chamada pública</x:v>
      </x:c>
      <x:c r="L19" s="15" t="n">
        <x:v>173152.56</x:v>
      </x:c>
      <x:c r="M19" s="8" t="str">
        <x:v>Histórico localizado; situação administrativa não inferida</x:v>
      </x:c>
      <x:c r="N19" s="8" t="str">
        <x:v>https://www.drejuina.com.br/editals</x:v>
      </x:c>
      <x:c r="O19" s="8" t="str">
        <x:v>https://www.drejuina.com.br/uploads/editais/castanheiraedital--chamada-pUblica-2025docx-PO0m.pdf</x:v>
      </x:c>
      <x:c r="P19" s="8" t="str">
        <x:v>PNAE_MT_2025/06_JUINA/DOC-0016_castanheiraedital--chamada-pUblica-2025docx-PO0m.pdf</x:v>
      </x:c>
      <x:c r="Q19" s="8" t="str">
        <x:v>BAIXADO_VALIDADO</x:v>
      </x:c>
      <x:c r="R19" s="8" t="str">
        <x:v>ELEGIVEL_2025</x:v>
      </x:c>
      <x:c r="S19" s="8" t="str">
        <x:v>Ano letivo de 2025 confirmado no PDF; dados extraídos sujeitos à conferência administrativa.</x:v>
      </x:c>
      <x:c r="T19" s="8" t="str">
        <x:v>Escopo territorial preservado. CNPJ da DRE não substitui CNPJ da escola/CDCE.</x:v>
      </x:c>
    </x:row>
    <x:row r="20" ht="84" customHeight="1">
      <x:c r="A20" s="8" t="str">
        <x:v>ED-0016</x:v>
      </x:c>
      <x:c r="B20" s="8" t="str">
        <x:v>Juína</x:v>
      </x:c>
      <x:c r="C20" s="8" t="str">
        <x:v>Brasnorte</x:v>
      </x:c>
      <x:c r="D20" s="8"/>
      <x:c r="E20" s="8"/>
      <x:c r="F20" s="8" t="str">
        <x:v>017/2024</x:v>
      </x:c>
      <x:c r="G20" s="8" t="n">
        <x:v>2024</x:v>
      </x:c>
      <x:c r="H20" s="8"/>
      <x:c r="I20" s="8" t="n">
        <x:v>2025</x:v>
      </x:c>
      <x:c r="J20" s="8" t="str">
        <x:v>Aquisição de gêneros alimentícios para alimentação escolar da agricultura familiar</x:v>
      </x:c>
      <x:c r="K20" s="8" t="str">
        <x:v>Chamada pública</x:v>
      </x:c>
      <x:c r="L20" s="15" t="n">
        <x:v>663990.01</x:v>
      </x:c>
      <x:c r="M20" s="8" t="str">
        <x:v>Histórico localizado; situação administrativa não inferida</x:v>
      </x:c>
      <x:c r="N20" s="8" t="str">
        <x:v>https://www.drejuina.com.br/editals</x:v>
      </x:c>
      <x:c r="O20" s="8" t="str">
        <x:v>https://www.drejuina.com.br/uploads/editais/brasnorteedital--chamada-pUblica-2025docx-ZQmt.pdf</x:v>
      </x:c>
      <x:c r="P20" s="8" t="str">
        <x:v>PNAE_MT_2025/06_JUINA/DOC-0017_brasnorteedital--chamada-pUblica-2025docx-ZQmt.pdf</x:v>
      </x:c>
      <x:c r="Q20" s="8" t="str">
        <x:v>BAIXADO_VALIDADO</x:v>
      </x:c>
      <x:c r="R20" s="8" t="str">
        <x:v>ELEGIVEL_2025</x:v>
      </x:c>
      <x:c r="S20" s="8" t="str">
        <x:v>Ano letivo de 2025 confirmado no PDF; dados extraídos sujeitos à conferência administrativa.</x:v>
      </x:c>
      <x:c r="T20" s="8" t="str">
        <x:v>Escopo territorial preservado. CNPJ da DRE não substitui CNPJ da escola/CDCE.</x:v>
      </x:c>
    </x:row>
    <x:row r="21" ht="84" customHeight="1">
      <x:c r="A21" s="8" t="str">
        <x:v>ED-0017</x:v>
      </x:c>
      <x:c r="B21" s="8" t="str">
        <x:v>Juína</x:v>
      </x:c>
      <x:c r="C21" s="8" t="str">
        <x:v>Juína</x:v>
      </x:c>
      <x:c r="D21" s="8"/>
      <x:c r="E21" s="8"/>
      <x:c r="F21" s="8" t="str">
        <x:v>020/2024</x:v>
      </x:c>
      <x:c r="G21" s="8" t="n">
        <x:v>2024</x:v>
      </x:c>
      <x:c r="H21" s="8"/>
      <x:c r="I21" s="8" t="n">
        <x:v>2025</x:v>
      </x:c>
      <x:c r="J21" s="8" t="str">
        <x:v>Aquisição de gêneros alimentícios para alimentação escolar da agricultura familiar</x:v>
      </x:c>
      <x:c r="K21" s="8" t="str">
        <x:v>Chamada pública</x:v>
      </x:c>
      <x:c r="L21" s="15"/>
      <x:c r="M21" s="8" t="str">
        <x:v>Histórico localizado; situação administrativa não inferida</x:v>
      </x:c>
      <x:c r="N21" s="8" t="str">
        <x:v>https://www.drejuina.com.br/editals</x:v>
      </x:c>
      <x:c r="O21" s="8" t="str">
        <x:v>https://www.drejuina.com.br/uploads/editais/juinaedital--chamada-pUblica-2025-juinadocx-d5go.pdf</x:v>
      </x:c>
      <x:c r="P21" s="8" t="str">
        <x:v>PNAE_MT_2025/06_JUINA/DOC-0018_juinaedital--chamada-pUblica-2025-juinadocx-d5go.pdf</x:v>
      </x:c>
      <x:c r="Q21" s="8" t="str">
        <x:v>BAIXADO_VALIDADO</x:v>
      </x:c>
      <x:c r="R21" s="8" t="str">
        <x:v>ELEGIVEL_2025</x:v>
      </x:c>
      <x:c r="S21" s="8" t="str">
        <x:v>Ano letivo de 2025 confirmado no PDF; dados extraídos sujeitos à conferência administrativa.</x:v>
      </x:c>
      <x:c r="T21" s="8" t="str">
        <x:v>Escopo territorial preservado. CNPJ da DRE não substitui CNPJ da escola/CDCE.</x:v>
      </x:c>
    </x:row>
    <x:row r="22" ht="84" customHeight="1">
      <x:c r="A22" s="8" t="str">
        <x:v>ED-0018</x:v>
      </x:c>
      <x:c r="B22" s="8" t="str">
        <x:v>Juína</x:v>
      </x:c>
      <x:c r="C22" s="8" t="str">
        <x:v>Cotriguaçu</x:v>
      </x:c>
      <x:c r="D22" s="8"/>
      <x:c r="E22" s="8"/>
      <x:c r="F22" s="8" t="str">
        <x:v>019/2024</x:v>
      </x:c>
      <x:c r="G22" s="8" t="n">
        <x:v>2024</x:v>
      </x:c>
      <x:c r="H22" s="8"/>
      <x:c r="I22" s="8" t="n">
        <x:v>2025</x:v>
      </x:c>
      <x:c r="J22" s="8" t="str">
        <x:v>Aquisição de gêneros alimentícios para alimentação escolar da agricultura familiar</x:v>
      </x:c>
      <x:c r="K22" s="8" t="str">
        <x:v>Chamada pública</x:v>
      </x:c>
      <x:c r="L22" s="15" t="n">
        <x:v>259100.94</x:v>
      </x:c>
      <x:c r="M22" s="8" t="str">
        <x:v>Histórico localizado; situação administrativa não inferida</x:v>
      </x:c>
      <x:c r="N22" s="8" t="str">
        <x:v>https://www.drejuina.com.br/editals</x:v>
      </x:c>
      <x:c r="O22" s="8" t="str">
        <x:v>https://www.drejuina.com.br/uploads/editais/cotriguacuedital--chamada-pUblica-2025-2-MbYw.pdf</x:v>
      </x:c>
      <x:c r="P22" s="8" t="str">
        <x:v>PNAE_MT_2025/06_JUINA/DOC-0020_cotriguacuedital--chamada-pUblica-2025-2-MbYw.pdf</x:v>
      </x:c>
      <x:c r="Q22" s="8" t="str">
        <x:v>BAIXADO_VALIDADO</x:v>
      </x:c>
      <x:c r="R22" s="8" t="str">
        <x:v>ELEGIVEL_2025</x:v>
      </x:c>
      <x:c r="S22" s="8" t="str">
        <x:v>Ano letivo de 2025 confirmado no PDF; dados extraídos sujeitos à conferência administrativa.</x:v>
      </x:c>
      <x:c r="T22" s="8" t="str">
        <x:v>Escopo territorial preservado. CNPJ da DRE não substitui CNPJ da escola/CDCE.</x:v>
      </x:c>
    </x:row>
    <x:row r="23" ht="84" customHeight="1">
      <x:c r="A23" s="8" t="str">
        <x:v>ED-0019</x:v>
      </x:c>
      <x:c r="B23" s="8" t="str">
        <x:v>Juína</x:v>
      </x:c>
      <x:c r="C23" s="8" t="str">
        <x:v>Novo Horizonte do Norte</x:v>
      </x:c>
      <x:c r="D23" s="8"/>
      <x:c r="E23" s="8"/>
      <x:c r="F23" s="8" t="str">
        <x:v>025/2024</x:v>
      </x:c>
      <x:c r="G23" s="8" t="n">
        <x:v>2024</x:v>
      </x:c>
      <x:c r="H23" s="8"/>
      <x:c r="I23" s="8" t="n">
        <x:v>2025</x:v>
      </x:c>
      <x:c r="J23" s="8" t="str">
        <x:v>Aquisição de gêneros alimentícios para alimentação escolar da agricultura familiar</x:v>
      </x:c>
      <x:c r="K23" s="8" t="str">
        <x:v>Chamada pública</x:v>
      </x:c>
      <x:c r="L23" s="15"/>
      <x:c r="M23" s="8" t="str">
        <x:v>Histórico localizado; situação administrativa não inferida</x:v>
      </x:c>
      <x:c r="N23" s="8" t="str">
        <x:v>https://www.drejuina.com.br/editals</x:v>
      </x:c>
      <x:c r="O23" s="8" t="str">
        <x:v>https://www.drejuina.com.br/uploads/editais/novo-horizonte-edital--chamada-pUblica-2025pos-parecer-2docx-FGAB.pdf</x:v>
      </x:c>
      <x:c r="P23" s="8" t="str">
        <x:v>PNAE_MT_2025/06_JUINA/DOC-0021_novo-horizonte-edital--chamada-pUblica-2025pos-parecer-2docx-FGAB.pdf</x:v>
      </x:c>
      <x:c r="Q23" s="8" t="str">
        <x:v>BAIXADO_VALIDADO</x:v>
      </x:c>
      <x:c r="R23" s="8" t="str">
        <x:v>ELEGIVEL_2025</x:v>
      </x:c>
      <x:c r="S23" s="8" t="str">
        <x:v>Ano letivo de 2025 confirmado no PDF; dados extraídos sujeitos à conferência administrativa.</x:v>
      </x:c>
      <x:c r="T23" s="8" t="str">
        <x:v>Escopo territorial preservado. CNPJ da DRE não substitui CNPJ da escola/CDCE.</x:v>
      </x:c>
    </x:row>
    <x:row r="24" ht="84" customHeight="1">
      <x:c r="A24" s="8" t="str">
        <x:v>ED-0020</x:v>
      </x:c>
      <x:c r="B24" s="8" t="str">
        <x:v>Juína</x:v>
      </x:c>
      <x:c r="C24" s="8" t="str">
        <x:v>Porto dos Gaúchos</x:v>
      </x:c>
      <x:c r="D24" s="8"/>
      <x:c r="E24" s="8"/>
      <x:c r="F24" s="8" t="str">
        <x:v>024/2024</x:v>
      </x:c>
      <x:c r="G24" s="8" t="n">
        <x:v>2024</x:v>
      </x:c>
      <x:c r="H24" s="8"/>
      <x:c r="I24" s="8" t="n">
        <x:v>2025</x:v>
      </x:c>
      <x:c r="J24" s="8" t="str">
        <x:v>Aquisição de gêneros alimentícios para alimentação escolar da agricultura familiar</x:v>
      </x:c>
      <x:c r="K24" s="8" t="str">
        <x:v>Chamada pública</x:v>
      </x:c>
      <x:c r="L24" s="15" t="n">
        <x:v>221366.86</x:v>
      </x:c>
      <x:c r="M24" s="8" t="str">
        <x:v>Histórico localizado; situação administrativa não inferida</x:v>
      </x:c>
      <x:c r="N24" s="8" t="str">
        <x:v>https://www.drejuina.com.br/editals</x:v>
      </x:c>
      <x:c r="O24" s="8" t="str">
        <x:v>https://www.drejuina.com.br/uploads/editais/porto-edital--chamada-pUblica-2025docx-1-zvmJ.pdf</x:v>
      </x:c>
      <x:c r="P24" s="8" t="str">
        <x:v>PNAE_MT_2025/06_JUINA/DOC-0022_porto-edital--chamada-pUblica-2025docx-1-zvmJ.pdf</x:v>
      </x:c>
      <x:c r="Q24" s="8" t="str">
        <x:v>BAIXADO_VALIDADO</x:v>
      </x:c>
      <x:c r="R24" s="8" t="str">
        <x:v>ELEGIVEL_2025</x:v>
      </x:c>
      <x:c r="S24" s="8" t="str">
        <x:v>Ano letivo de 2025 confirmado no PDF; dados extraídos sujeitos à conferência administrativa.</x:v>
      </x:c>
      <x:c r="T24" s="8" t="str">
        <x:v>Escopo territorial preservado. CNPJ da DRE não substitui CNPJ da escola/CDCE.</x:v>
      </x:c>
    </x:row>
    <x:row r="25" ht="84" customHeight="1">
      <x:c r="A25" s="8" t="str">
        <x:v>ED-0021</x:v>
      </x:c>
      <x:c r="B25" s="8" t="str">
        <x:v>Juína</x:v>
      </x:c>
      <x:c r="C25" s="8" t="str">
        <x:v>Juara - indígena</x:v>
      </x:c>
      <x:c r="D25" s="8"/>
      <x:c r="E25" s="8"/>
      <x:c r="F25" s="8" t="str">
        <x:v>022/2024</x:v>
      </x:c>
      <x:c r="G25" s="8" t="n">
        <x:v>2024</x:v>
      </x:c>
      <x:c r="H25" s="8"/>
      <x:c r="I25" s="8" t="n">
        <x:v>2025</x:v>
      </x:c>
      <x:c r="J25" s="8" t="str">
        <x:v>Aquisição de gêneros alimentícios para alimentação escolar da agricultura familiar</x:v>
      </x:c>
      <x:c r="K25" s="8" t="str">
        <x:v>Chamada pública</x:v>
      </x:c>
      <x:c r="L25" s="15"/>
      <x:c r="M25" s="8" t="str">
        <x:v>Histórico localizado; situação administrativa não inferida</x:v>
      </x:c>
      <x:c r="N25" s="8" t="str">
        <x:v>https://www.drejuina.com.br/editals</x:v>
      </x:c>
      <x:c r="O25" s="8" t="str">
        <x:v>https://www.drejuina.com.br/uploads/editais/juara-indigenaedital--chamada-pUblica-2025pos-parecer-1docx-5sZw.pdf</x:v>
      </x:c>
      <x:c r="P25" s="8" t="str">
        <x:v>PNAE_MT_2025/06_JUINA/DOC-0023_juara-indigenaedital--chamada-pUblica-2025pos-parecer-1docx-5sZw.pdf</x:v>
      </x:c>
      <x:c r="Q25" s="8" t="str">
        <x:v>BAIXADO_VALIDADO</x:v>
      </x:c>
      <x:c r="R25" s="8" t="str">
        <x:v>ELEGIVEL_2025</x:v>
      </x:c>
      <x:c r="S25" s="8" t="str">
        <x:v>Ano letivo de 2025 confirmado no PDF; dados extraídos sujeitos à conferência administrativa.</x:v>
      </x:c>
      <x:c r="T25" s="8" t="str">
        <x:v>Escopo territorial preservado. CNPJ da DRE não substitui CNPJ da escola/CDCE.</x:v>
      </x:c>
    </x:row>
    <x:row r="26" ht="84" customHeight="1">
      <x:c r="A26" s="8" t="str">
        <x:v>ED-0022</x:v>
      </x:c>
      <x:c r="B26" s="8" t="str">
        <x:v>Juína</x:v>
      </x:c>
      <x:c r="C26" s="8" t="str">
        <x:v>Juara</x:v>
      </x:c>
      <x:c r="D26" s="8"/>
      <x:c r="E26" s="8"/>
      <x:c r="F26" s="8" t="str">
        <x:v>021/2024</x:v>
      </x:c>
      <x:c r="G26" s="8" t="n">
        <x:v>2024</x:v>
      </x:c>
      <x:c r="H26" s="8"/>
      <x:c r="I26" s="8" t="n">
        <x:v>2025</x:v>
      </x:c>
      <x:c r="J26" s="8" t="str">
        <x:v>Aquisição de gêneros alimentícios para alimentação escolar da agricultura familiar</x:v>
      </x:c>
      <x:c r="K26" s="8" t="str">
        <x:v>Chamada pública</x:v>
      </x:c>
      <x:c r="L26" s="15"/>
      <x:c r="M26" s="8" t="str">
        <x:v>Histórico localizado; situação administrativa não inferida</x:v>
      </x:c>
      <x:c r="N26" s="8" t="str">
        <x:v>https://www.drejuina.com.br/editals</x:v>
      </x:c>
      <x:c r="O26" s="8" t="str">
        <x:v>https://www.drejuina.com.br/uploads/editais/juaraedital-docx-atRm.pdf</x:v>
      </x:c>
      <x:c r="P26" s="8" t="str">
        <x:v>PNAE_MT_2025/06_JUINA/DOC-0024_juaraedital-docx-atRm.pdf</x:v>
      </x:c>
      <x:c r="Q26" s="8" t="str">
        <x:v>BAIXADO_VALIDADO</x:v>
      </x:c>
      <x:c r="R26" s="8" t="str">
        <x:v>ELEGIVEL_2025</x:v>
      </x:c>
      <x:c r="S26" s="8" t="str">
        <x:v>Ano letivo de 2025 confirmado no PDF; dados extraídos sujeitos à conferência administrativa.</x:v>
      </x:c>
      <x:c r="T26" s="8" t="str">
        <x:v>Escopo territorial preservado. CNPJ da DRE não substitui CNPJ da escola/CDCE.</x:v>
      </x:c>
    </x:row>
    <x:row r="27" ht="84" customHeight="1">
      <x:c r="A27" s="8" t="str">
        <x:v>ED-0023</x:v>
      </x:c>
      <x:c r="B27" s="8" t="str">
        <x:v>Juína</x:v>
      </x:c>
      <x:c r="C27" s="8" t="str">
        <x:v>Colniza</x:v>
      </x:c>
      <x:c r="D27" s="8"/>
      <x:c r="E27" s="8"/>
      <x:c r="F27" s="8" t="str">
        <x:v>018/2024</x:v>
      </x:c>
      <x:c r="G27" s="8" t="n">
        <x:v>2024</x:v>
      </x:c>
      <x:c r="H27" s="8"/>
      <x:c r="I27" s="8" t="n">
        <x:v>2025</x:v>
      </x:c>
      <x:c r="J27" s="8" t="str">
        <x:v>Aquisição de gêneros alimentícios para alimentação escolar da agricultura familiar</x:v>
      </x:c>
      <x:c r="K27" s="8" t="str">
        <x:v>Chamada pública</x:v>
      </x:c>
      <x:c r="L27" s="15" t="n">
        <x:v>795939.86</x:v>
      </x:c>
      <x:c r="M27" s="8" t="str">
        <x:v>Histórico localizado; situação administrativa não inferida</x:v>
      </x:c>
      <x:c r="N27" s="8" t="str">
        <x:v>https://www.drejuina.com.br/editals</x:v>
      </x:c>
      <x:c r="O27" s="8" t="str">
        <x:v>https://www.drejuina.com.br/uploads/editais/colniza-chamada-pUblica-2025pos-parecer1docx-Wh1j.pdf</x:v>
      </x:c>
      <x:c r="P27" s="8" t="str">
        <x:v>PNAE_MT_2025/06_JUINA/DOC-0025_colniza-chamada-pUblica-2025pos-parecer1docx-Wh1j.pdf</x:v>
      </x:c>
      <x:c r="Q27" s="8" t="str">
        <x:v>BAIXADO_VALIDADO</x:v>
      </x:c>
      <x:c r="R27" s="8" t="str">
        <x:v>ELEGIVEL_2025</x:v>
      </x:c>
      <x:c r="S27" s="8" t="str">
        <x:v>Ano letivo de 2025 confirmado no PDF; dados extraídos sujeitos à conferência administrativa.</x:v>
      </x:c>
      <x:c r="T27" s="8" t="str">
        <x:v>Escopo territorial preservado. CNPJ da DRE não substitui CNPJ da escola/CDCE.</x:v>
      </x:c>
    </x:row>
    <x:row r="28" ht="84" customHeight="1">
      <x:c r="A28" s="8" t="str">
        <x:v>ED-0024</x:v>
      </x:c>
      <x:c r="B28" s="8" t="str">
        <x:v>Juína</x:v>
      </x:c>
      <x:c r="C28" s="8" t="str">
        <x:v>Aripuanã</x:v>
      </x:c>
      <x:c r="D28" s="8"/>
      <x:c r="E28" s="8"/>
      <x:c r="F28" s="8" t="str">
        <x:v>015/2024</x:v>
      </x:c>
      <x:c r="G28" s="8" t="n">
        <x:v>2024</x:v>
      </x:c>
      <x:c r="H28" s="8"/>
      <x:c r="I28" s="8" t="n">
        <x:v>2025</x:v>
      </x:c>
      <x:c r="J28" s="8" t="str">
        <x:v>Aquisição de gêneros alimentícios para alimentação escolar da agricultura familiar</x:v>
      </x:c>
      <x:c r="K28" s="8" t="str">
        <x:v>Chamada pública</x:v>
      </x:c>
      <x:c r="L28" s="15"/>
      <x:c r="M28" s="8" t="str">
        <x:v>Histórico localizado; situação administrativa não inferida</x:v>
      </x:c>
      <x:c r="N28" s="8" t="str">
        <x:v>https://www.drejuina.com.br/editals</x:v>
      </x:c>
      <x:c r="O28" s="8" t="str">
        <x:v>https://www.drejuina.com.br/uploads/editais/aripuana-edital--chamada-pUblica-2025pos-parecerdocx-1-xI4f.pdf</x:v>
      </x:c>
      <x:c r="P28" s="8" t="str">
        <x:v>PNAE_MT_2025/06_JUINA/DOC-0027_aripuana-edital--chamada-pUblica-2025pos-parecerdocx-1-xI4f.pdf</x:v>
      </x:c>
      <x:c r="Q28" s="8" t="str">
        <x:v>BAIXADO_VALIDADO</x:v>
      </x:c>
      <x:c r="R28" s="8" t="str">
        <x:v>ELEGIVEL_2025</x:v>
      </x:c>
      <x:c r="S28" s="8" t="str">
        <x:v>Ano letivo de 2025 confirmado no PDF; dados extraídos sujeitos à conferência administrativa.</x:v>
      </x:c>
      <x:c r="T28" s="8" t="str">
        <x:v>Escopo territorial preservado. CNPJ da DRE não substitui CNPJ da escola/CDCE.</x:v>
      </x:c>
    </x:row>
    <x:row r="29" ht="84" customHeight="1">
      <x:c r="A29" s="8" t="str">
        <x:v>ED-0025</x:v>
      </x:c>
      <x:c r="B29" s="8" t="str">
        <x:v>Primavera do Leste</x:v>
      </x:c>
      <x:c r="C29" s="8" t="str">
        <x:v>Primavera do Leste</x:v>
      </x:c>
      <x:c r="D29" s="8"/>
      <x:c r="E29" s="8"/>
      <x:c r="F29" s="8" t="str">
        <x:v>011/2025</x:v>
      </x:c>
      <x:c r="G29" s="8" t="n">
        <x:v>2025</x:v>
      </x:c>
      <x:c r="H29" s="8"/>
      <x:c r="I29" s="8"/>
      <x:c r="J29" s="8" t="str">
        <x:v>Aquisição de gêneros alimentícios para alimentação escolar</x:v>
      </x:c>
      <x:c r="K29" s="8" t="str">
        <x:v>Pregão</x:v>
      </x:c>
      <x:c r="L29" s="15"/>
      <x:c r="M29" s="8"/>
      <x:c r="N29" s="8" t="str">
        <x:v>https://sites.google.com/edu.mt.gov.br/drepva/coordenadorias/coadm/certames-2025</x:v>
      </x:c>
      <x:c r="O29" s="8" t="str">
        <x:v>https://drive.google.com/file/d/1U2KHE7gQmPFL3AjpT0_koB6xrzva2Djq/view?usp=drive_link</x:v>
      </x:c>
      <x:c r="P29" s="8" t="str">
        <x:v>DOCUMENTOS_FORA_ESCOPO_OU_CONFLITANTES/10_PRIMAVERA_DO_LESTE/DOC-0029_DOC-0029.pdf</x:v>
      </x:c>
      <x:c r="Q29" s="8" t="str">
        <x:v>BAIXADO_VALIDADO</x:v>
      </x:c>
      <x:c r="R29" s="8" t="str">
        <x:v>CONFLITO_EXERCICIO</x:v>
      </x:c>
      <x:c r="S29" s="8" t="str">
        <x:v>Publicação de novembro/dezembro de 2025 preparada para 2026; alguns textos reutilizam ano 2025. Bloquear importação até revisão documental.</x:v>
      </x:c>
      <x:c r="T29" s="8" t="str"/>
    </x:row>
    <x:row r="30" ht="84" customHeight="1">
      <x:c r="A30" s="8" t="str">
        <x:v>ED-0026</x:v>
      </x:c>
      <x:c r="B30" s="8" t="str">
        <x:v>Primavera do Leste</x:v>
      </x:c>
      <x:c r="C30" s="8" t="str">
        <x:v>Gaúcha do Norte</x:v>
      </x:c>
      <x:c r="D30" s="8"/>
      <x:c r="E30" s="8"/>
      <x:c r="F30" s="8" t="str">
        <x:v>010/2025</x:v>
      </x:c>
      <x:c r="G30" s="8" t="n">
        <x:v>2025</x:v>
      </x:c>
      <x:c r="H30" s="8"/>
      <x:c r="I30" s="8"/>
      <x:c r="J30" s="8" t="str">
        <x:v>Aquisição de gêneros alimentícios para alimentação escolar</x:v>
      </x:c>
      <x:c r="K30" s="8" t="str">
        <x:v>Pregão</x:v>
      </x:c>
      <x:c r="L30" s="15"/>
      <x:c r="M30" s="8"/>
      <x:c r="N30" s="8" t="str">
        <x:v>https://sites.google.com/edu.mt.gov.br/drepva/coordenadorias/coadm/certames-2025</x:v>
      </x:c>
      <x:c r="O30" s="8" t="str">
        <x:v>https://drive.google.com/file/d/1u4viDkeR13vC8sY0_b83YVsERdtqQcdI/view?usp=drive_link</x:v>
      </x:c>
      <x:c r="P30" s="8" t="str">
        <x:v>DOCUMENTOS_FORA_ESCOPO_OU_CONFLITANTES/10_PRIMAVERA_DO_LESTE/DOC-0030_DOC-0030.pdf</x:v>
      </x:c>
      <x:c r="Q30" s="8" t="str">
        <x:v>BAIXADO_VALIDADO</x:v>
      </x:c>
      <x:c r="R30" s="8" t="str">
        <x:v>CONFLITO_EXERCICIO</x:v>
      </x:c>
      <x:c r="S30" s="8" t="str">
        <x:v>Publicação de novembro/dezembro de 2025 preparada para 2026; alguns textos reutilizam ano 2025. Bloquear importação até revisão documental.</x:v>
      </x:c>
      <x:c r="T30" s="8" t="str"/>
    </x:row>
    <x:row r="31" ht="84" customHeight="1">
      <x:c r="A31" s="8" t="str">
        <x:v>ED-0027</x:v>
      </x:c>
      <x:c r="B31" s="8" t="str">
        <x:v>Primavera do Leste</x:v>
      </x:c>
      <x:c r="C31" s="8" t="str">
        <x:v>Nova Nazaré</x:v>
      </x:c>
      <x:c r="D31" s="8"/>
      <x:c r="E31" s="8"/>
      <x:c r="F31" s="8"/>
      <x:c r="G31" s="8"/>
      <x:c r="H31" s="8"/>
      <x:c r="I31" s="8" t="n">
        <x:v>2026</x:v>
      </x:c>
      <x:c r="J31" s="8" t="str">
        <x:v>Aquisição de gêneros alimentícios para alimentação escolar</x:v>
      </x:c>
      <x:c r="K31" s="8" t="str">
        <x:v>Pregão</x:v>
      </x:c>
      <x:c r="L31" s="15"/>
      <x:c r="M31" s="8"/>
      <x:c r="N31" s="8" t="str">
        <x:v>https://sites.google.com/edu.mt.gov.br/drepva/coordenadorias/coadm/certames-2025</x:v>
      </x:c>
      <x:c r="O31" s="8" t="str">
        <x:v>https://drive.google.com/file/d/11P2vQe6LDaw094XxMFfarykQGzPGw2RZ/view?usp=drive_link</x:v>
      </x:c>
      <x:c r="P31" s="8" t="str">
        <x:v>DOCUMENTOS_FORA_ESCOPO_OU_CONFLITANTES/10_PRIMAVERA_DO_LESTE/DOC-0031_DOC-0031.pdf</x:v>
      </x:c>
      <x:c r="Q31" s="8" t="str">
        <x:v>BAIXADO_VALIDADO</x:v>
      </x:c>
      <x:c r="R31" s="8" t="str">
        <x:v>FORA_ESCOPO_2026</x:v>
      </x:c>
      <x:c r="S31" s="8" t="str">
        <x:v>Publicação de novembro/dezembro de 2025 preparada para 2026; alguns textos reutilizam ano 2025. Bloquear importação até revisão documental.</x:v>
      </x:c>
      <x:c r="T31" s="8" t="str"/>
    </x:row>
    <x:row r="32" ht="84" customHeight="1">
      <x:c r="A32" s="8" t="str">
        <x:v>ED-0028</x:v>
      </x:c>
      <x:c r="B32" s="8" t="str">
        <x:v>Primavera do Leste</x:v>
      </x:c>
      <x:c r="C32" s="8" t="str">
        <x:v>Paranatinga Indígenas</x:v>
      </x:c>
      <x:c r="D32" s="8"/>
      <x:c r="E32" s="8"/>
      <x:c r="F32" s="8" t="str">
        <x:v>009/2025</x:v>
      </x:c>
      <x:c r="G32" s="8" t="n">
        <x:v>2025</x:v>
      </x:c>
      <x:c r="H32" s="8"/>
      <x:c r="I32" s="8"/>
      <x:c r="J32" s="8" t="str">
        <x:v>Aquisição de gêneros alimentícios para alimentação escolar</x:v>
      </x:c>
      <x:c r="K32" s="8" t="str">
        <x:v>Pregão</x:v>
      </x:c>
      <x:c r="L32" s="15"/>
      <x:c r="M32" s="8"/>
      <x:c r="N32" s="8" t="str">
        <x:v>https://sites.google.com/edu.mt.gov.br/drepva/coordenadorias/coadm/certames-2025</x:v>
      </x:c>
      <x:c r="O32" s="8" t="str">
        <x:v>https://drive.google.com/file/d/1IaKsTwt6oygKi3cNcuJiDBxHBm93HsGi/view?usp=drive_link</x:v>
      </x:c>
      <x:c r="P32" s="8" t="str">
        <x:v>DOCUMENTOS_FORA_ESCOPO_OU_CONFLITANTES/10_PRIMAVERA_DO_LESTE/DOC-0032_DOC-0032.pdf</x:v>
      </x:c>
      <x:c r="Q32" s="8" t="str">
        <x:v>BAIXADO_VALIDADO</x:v>
      </x:c>
      <x:c r="R32" s="8" t="str">
        <x:v>CONFLITO_EXERCICIO</x:v>
      </x:c>
      <x:c r="S32" s="8" t="str">
        <x:v>Publicação de novembro/dezembro de 2025 preparada para 2026; alguns textos reutilizam ano 2025. Bloquear importação até revisão documental.</x:v>
      </x:c>
      <x:c r="T32" s="8" t="str"/>
    </x:row>
    <x:row r="33" ht="84" customHeight="1">
      <x:c r="A33" s="8" t="str">
        <x:v>ED-0029</x:v>
      </x:c>
      <x:c r="B33" s="8" t="str">
        <x:v>Primavera do Leste</x:v>
      </x:c>
      <x:c r="C33" s="8" t="str">
        <x:v>Brasnorte</x:v>
      </x:c>
      <x:c r="D33" s="8"/>
      <x:c r="E33" s="8"/>
      <x:c r="F33" s="8" t="str">
        <x:v>009/2025</x:v>
      </x:c>
      <x:c r="G33" s="8" t="n">
        <x:v>2025</x:v>
      </x:c>
      <x:c r="H33" s="8"/>
      <x:c r="I33" s="8" t="n">
        <x:v>2026</x:v>
      </x:c>
      <x:c r="J33" s="8" t="str">
        <x:v>Aquisição de gêneros alimentícios para alimentação escolar</x:v>
      </x:c>
      <x:c r="K33" s="8" t="str">
        <x:v>Pregão</x:v>
      </x:c>
      <x:c r="L33" s="15"/>
      <x:c r="M33" s="8"/>
      <x:c r="N33" s="8" t="str">
        <x:v>https://sites.google.com/edu.mt.gov.br/drepva/coordenadorias/coadm/certames-2025</x:v>
      </x:c>
      <x:c r="O33" s="8" t="str">
        <x:v>https://drive.google.com/file/d/1A6ksWJbqRQdM9DkKbuW6ozKcjjJ_hm-B/view?usp=drive_link</x:v>
      </x:c>
      <x:c r="P33" s="8" t="str">
        <x:v>DOCUMENTOS_FORA_ESCOPO_OU_CONFLITANTES/10_PRIMAVERA_DO_LESTE/DOC-0033_DOC-0033.pdf</x:v>
      </x:c>
      <x:c r="Q33" s="8" t="str">
        <x:v>BAIXADO_VALIDADO</x:v>
      </x:c>
      <x:c r="R33" s="8" t="str">
        <x:v>FORA_ESCOPO_2026</x:v>
      </x:c>
      <x:c r="S33" s="8" t="str">
        <x:v>Publicação de novembro/dezembro de 2025 preparada para 2026; alguns textos reutilizam ano 2025. Bloquear importação até revisão documental.</x:v>
      </x:c>
      <x:c r="T33" s="8" t="str"/>
    </x:row>
    <x:row r="34" ht="84" customHeight="1">
      <x:c r="A34" s="8" t="str">
        <x:v>ED-0030</x:v>
      </x:c>
      <x:c r="B34" s="8" t="str">
        <x:v>Primavera do Leste</x:v>
      </x:c>
      <x:c r="C34" s="8" t="str">
        <x:v>Paranatinga</x:v>
      </x:c>
      <x:c r="D34" s="8"/>
      <x:c r="E34" s="8"/>
      <x:c r="F34" s="8" t="str">
        <x:v>008/2025</x:v>
      </x:c>
      <x:c r="G34" s="8" t="n">
        <x:v>2025</x:v>
      </x:c>
      <x:c r="H34" s="8"/>
      <x:c r="I34" s="8"/>
      <x:c r="J34" s="8" t="str">
        <x:v>Aquisição de gêneros alimentícios para alimentação escolar</x:v>
      </x:c>
      <x:c r="K34" s="8" t="str">
        <x:v>Pregão</x:v>
      </x:c>
      <x:c r="L34" s="15"/>
      <x:c r="M34" s="8"/>
      <x:c r="N34" s="8" t="str">
        <x:v>https://sites.google.com/edu.mt.gov.br/drepva/coordenadorias/coadm/certames-2025</x:v>
      </x:c>
      <x:c r="O34" s="8" t="str">
        <x:v>https://drive.google.com/file/d/1N2WYR06Qz76_58Ty5MbZL19ILFVeY6Cr/view?usp=drive_link</x:v>
      </x:c>
      <x:c r="P34" s="8" t="str">
        <x:v>DOCUMENTOS_FORA_ESCOPO_OU_CONFLITANTES/10_PRIMAVERA_DO_LESTE/DOC-0034_DOC-0034.pdf</x:v>
      </x:c>
      <x:c r="Q34" s="8" t="str">
        <x:v>BAIXADO_VALIDADO</x:v>
      </x:c>
      <x:c r="R34" s="8" t="str">
        <x:v>CONFLITO_EXERCICIO</x:v>
      </x:c>
      <x:c r="S34" s="8" t="str">
        <x:v>Publicação de novembro/dezembro de 2025 preparada para 2026; alguns textos reutilizam ano 2025. Bloquear importação até revisão documental.</x:v>
      </x:c>
      <x:c r="T34" s="8" t="str"/>
    </x:row>
    <x:row r="35" ht="84" customHeight="1">
      <x:c r="A35" s="8" t="str">
        <x:v>ED-0031</x:v>
      </x:c>
      <x:c r="B35" s="8" t="str">
        <x:v>Primavera do Leste</x:v>
      </x:c>
      <x:c r="C35" s="8" t="str">
        <x:v>Santo Antônio do Leste</x:v>
      </x:c>
      <x:c r="D35" s="8"/>
      <x:c r="E35" s="8"/>
      <x:c r="F35" s="8" t="str">
        <x:v>007/2025</x:v>
      </x:c>
      <x:c r="G35" s="8" t="n">
        <x:v>2025</x:v>
      </x:c>
      <x:c r="H35" s="8"/>
      <x:c r="I35" s="8"/>
      <x:c r="J35" s="8" t="str">
        <x:v>Aquisição de gêneros alimentícios para alimentação escolar</x:v>
      </x:c>
      <x:c r="K35" s="8" t="str">
        <x:v>Pregão</x:v>
      </x:c>
      <x:c r="L35" s="15"/>
      <x:c r="M35" s="8"/>
      <x:c r="N35" s="8" t="str">
        <x:v>https://sites.google.com/edu.mt.gov.br/drepva/coordenadorias/coadm/certames-2025</x:v>
      </x:c>
      <x:c r="O35" s="8" t="str">
        <x:v>https://drive.google.com/file/d/1FOq4Eay9AaNQgqG3jtX1drPKFEYW_rQU/view?usp=drive_link</x:v>
      </x:c>
      <x:c r="P35" s="8" t="str">
        <x:v>DOCUMENTOS_FORA_ESCOPO_OU_CONFLITANTES/10_PRIMAVERA_DO_LESTE/DOC-0035_DOC-0035.pdf</x:v>
      </x:c>
      <x:c r="Q35" s="8" t="str">
        <x:v>BAIXADO_VALIDADO</x:v>
      </x:c>
      <x:c r="R35" s="8" t="str">
        <x:v>CONFLITO_EXERCICIO</x:v>
      </x:c>
      <x:c r="S35" s="8" t="str">
        <x:v>Publicação de novembro/dezembro de 2025 preparada para 2026; alguns textos reutilizam ano 2025. Bloquear importação até revisão documental.</x:v>
      </x:c>
      <x:c r="T35" s="8" t="str"/>
    </x:row>
    <x:row r="36" ht="84" customHeight="1">
      <x:c r="A36" s="8" t="str">
        <x:v>ED-0032</x:v>
      </x:c>
      <x:c r="B36" s="8" t="str">
        <x:v>Primavera do Leste</x:v>
      </x:c>
      <x:c r="C36" s="8" t="str">
        <x:v>Campo Verde</x:v>
      </x:c>
      <x:c r="D36" s="8"/>
      <x:c r="E36" s="8"/>
      <x:c r="F36" s="8" t="str">
        <x:v>006/2025</x:v>
      </x:c>
      <x:c r="G36" s="8" t="n">
        <x:v>2025</x:v>
      </x:c>
      <x:c r="H36" s="8"/>
      <x:c r="I36" s="8"/>
      <x:c r="J36" s="8" t="str">
        <x:v>Aquisição de gêneros alimentícios para alimentação escolar</x:v>
      </x:c>
      <x:c r="K36" s="8" t="str">
        <x:v>Pregão</x:v>
      </x:c>
      <x:c r="L36" s="15"/>
      <x:c r="M36" s="8"/>
      <x:c r="N36" s="8" t="str">
        <x:v>https://sites.google.com/edu.mt.gov.br/drepva/coordenadorias/coadm/certames-2025</x:v>
      </x:c>
      <x:c r="O36" s="8" t="str">
        <x:v>https://drive.google.com/file/d/1uOCEwWVJSG8frRHa4VJcf7GuS_oI-bUl/view?usp=drive_link</x:v>
      </x:c>
      <x:c r="P36" s="8" t="str">
        <x:v>DOCUMENTOS_FORA_ESCOPO_OU_CONFLITANTES/10_PRIMAVERA_DO_LESTE/DOC-0036_DOC-0036.pdf</x:v>
      </x:c>
      <x:c r="Q36" s="8" t="str">
        <x:v>BAIXADO_VALIDADO</x:v>
      </x:c>
      <x:c r="R36" s="8" t="str">
        <x:v>CONFLITO_EXERCICIO</x:v>
      </x:c>
      <x:c r="S36" s="8" t="str">
        <x:v>Publicação de novembro/dezembro de 2025 preparada para 2026; alguns textos reutilizam ano 2025. Bloquear importação até revisão documental.</x:v>
      </x:c>
      <x:c r="T36" s="8" t="str"/>
    </x:row>
    <x:row r="37" ht="84" customHeight="1">
      <x:c r="A37" s="8" t="str">
        <x:v>ED-0033</x:v>
      </x:c>
      <x:c r="B37" s="8" t="str">
        <x:v>Primavera do Leste</x:v>
      </x:c>
      <x:c r="C37" s="8" t="str">
        <x:v>Poxoréo</x:v>
      </x:c>
      <x:c r="D37" s="8"/>
      <x:c r="E37" s="8"/>
      <x:c r="F37" s="8" t="str">
        <x:v>005/2025</x:v>
      </x:c>
      <x:c r="G37" s="8" t="n">
        <x:v>2025</x:v>
      </x:c>
      <x:c r="H37" s="8"/>
      <x:c r="I37" s="8"/>
      <x:c r="J37" s="8" t="str">
        <x:v>Aquisição de gêneros alimentícios para alimentação escolar</x:v>
      </x:c>
      <x:c r="K37" s="8" t="str">
        <x:v>Pregão</x:v>
      </x:c>
      <x:c r="L37" s="15"/>
      <x:c r="M37" s="8"/>
      <x:c r="N37" s="8" t="str">
        <x:v>https://sites.google.com/edu.mt.gov.br/drepva/coordenadorias/coadm/certames-2025</x:v>
      </x:c>
      <x:c r="O37" s="8" t="str">
        <x:v>https://drive.google.com/file/d/194zImK1prHxYLWtetHtbTQO2o1cblCEj/view?usp=drive_link</x:v>
      </x:c>
      <x:c r="P37" s="8" t="str">
        <x:v>DOCUMENTOS_FORA_ESCOPO_OU_CONFLITANTES/10_PRIMAVERA_DO_LESTE/DOC-0037_DOC-0037.pdf</x:v>
      </x:c>
      <x:c r="Q37" s="8" t="str">
        <x:v>BAIXADO_VALIDADO</x:v>
      </x:c>
      <x:c r="R37" s="8" t="str">
        <x:v>CONFLITO_EXERCICIO</x:v>
      </x:c>
      <x:c r="S37" s="8" t="str">
        <x:v>Publicação de novembro/dezembro de 2025 preparada para 2026; alguns textos reutilizam ano 2025. Bloquear importação até revisão documental.</x:v>
      </x:c>
      <x:c r="T37" s="8" t="str"/>
    </x:row>
    <x:row r="38" ht="84" customHeight="1">
      <x:c r="A38" s="8" t="str">
        <x:v>ED-0034</x:v>
      </x:c>
      <x:c r="B38" s="8" t="str">
        <x:v>Primavera do Leste</x:v>
      </x:c>
      <x:c r="C38" s="8" t="str">
        <x:v>Primavera do Leste</x:v>
      </x:c>
      <x:c r="D38" s="8"/>
      <x:c r="E38" s="8"/>
      <x:c r="F38" s="8" t="str">
        <x:v>004/2025</x:v>
      </x:c>
      <x:c r="G38" s="8" t="n">
        <x:v>2025</x:v>
      </x:c>
      <x:c r="H38" s="8"/>
      <x:c r="I38" s="8"/>
      <x:c r="J38" s="8" t="str">
        <x:v>Aquisição de gêneros alimentícios para alimentação escolar</x:v>
      </x:c>
      <x:c r="K38" s="8" t="str">
        <x:v>Pregão</x:v>
      </x:c>
      <x:c r="L38" s="15"/>
      <x:c r="M38" s="8"/>
      <x:c r="N38" s="8" t="str">
        <x:v>https://sites.google.com/edu.mt.gov.br/drepva/coordenadorias/coadm/certames-2025</x:v>
      </x:c>
      <x:c r="O38" s="8" t="str">
        <x:v>https://drive.google.com/file/d/1GL-3TufRhzRAwncgIuYj5z4ejvyNIBrF/view?usp=drive_link</x:v>
      </x:c>
      <x:c r="P38" s="8" t="str">
        <x:v>DOCUMENTOS_FORA_ESCOPO_OU_CONFLITANTES/10_PRIMAVERA_DO_LESTE/DOC-0038_DOC-0038.pdf</x:v>
      </x:c>
      <x:c r="Q38" s="8" t="str">
        <x:v>BAIXADO_VALIDADO</x:v>
      </x:c>
      <x:c r="R38" s="8" t="str">
        <x:v>CONFLITO_EXERCICIO</x:v>
      </x:c>
      <x:c r="S38" s="8" t="str">
        <x:v>Publicação de novembro/dezembro de 2025 preparada para 2026; alguns textos reutilizam ano 2025. Bloquear importação até revisão documental.</x:v>
      </x:c>
      <x:c r="T38" s="8" t="str"/>
    </x:row>
    <x:row r="39" ht="84" customHeight="1">
      <x:c r="A39" s="8" t="str">
        <x:v>ED-0035</x:v>
      </x:c>
      <x:c r="B39" s="8" t="str">
        <x:v>Primavera do Leste</x:v>
      </x:c>
      <x:c r="C39" s="8" t="str">
        <x:v>Primavera do Leste</x:v>
      </x:c>
      <x:c r="D39" s="8"/>
      <x:c r="E39" s="8"/>
      <x:c r="F39" s="8" t="str">
        <x:v>009/2025</x:v>
      </x:c>
      <x:c r="G39" s="8" t="n">
        <x:v>2025</x:v>
      </x:c>
      <x:c r="H39" s="8"/>
      <x:c r="I39" s="8" t="n">
        <x:v>2026</x:v>
      </x:c>
      <x:c r="J39" s="8" t="str">
        <x:v>Aquisição de gêneros alimentícios para alimentação escolar da agricultura familiar</x:v>
      </x:c>
      <x:c r="K39" s="8" t="str">
        <x:v>Chamada pública</x:v>
      </x:c>
      <x:c r="L39" s="15"/>
      <x:c r="M39" s="8"/>
      <x:c r="N39" s="8" t="str">
        <x:v>https://sites.google.com/edu.mt.gov.br/drepva/coordenadorias/coadm/certames-2025</x:v>
      </x:c>
      <x:c r="O39" s="8" t="str">
        <x:v>https://drive.google.com/file/d/1_KMjEXJP4BdZk3uMexh4DOKOKY8WQF4X/view?usp=sharing</x:v>
      </x:c>
      <x:c r="P39" s="8" t="str">
        <x:v>DOCUMENTOS_FORA_ESCOPO_OU_CONFLITANTES/10_PRIMAVERA_DO_LESTE/DOC-0039_DOC-0039.pdf</x:v>
      </x:c>
      <x:c r="Q39" s="8" t="str">
        <x:v>BAIXADO_VALIDADO</x:v>
      </x:c>
      <x:c r="R39" s="8" t="str">
        <x:v>FORA_ESCOPO_2026</x:v>
      </x:c>
      <x:c r="S39" s="8" t="str">
        <x:v>Publicação de novembro/dezembro de 2025 preparada para 2026; alguns textos reutilizam ano 2025. Bloquear importação até revisão documental.</x:v>
      </x:c>
      <x:c r="T39" s="8" t="str"/>
    </x:row>
    <x:row r="40" ht="84" customHeight="1">
      <x:c r="A40" s="8" t="str">
        <x:v>ED-0036</x:v>
      </x:c>
      <x:c r="B40" s="8" t="str">
        <x:v>Primavera do Leste</x:v>
      </x:c>
      <x:c r="C40" s="8" t="str">
        <x:v>Primavera do Leste</x:v>
      </x:c>
      <x:c r="D40" s="8"/>
      <x:c r="E40" s="8"/>
      <x:c r="F40" s="8" t="str">
        <x:v>008/2025</x:v>
      </x:c>
      <x:c r="G40" s="8" t="n">
        <x:v>2025</x:v>
      </x:c>
      <x:c r="H40" s="8"/>
      <x:c r="I40" s="8" t="n">
        <x:v>2026</x:v>
      </x:c>
      <x:c r="J40" s="8" t="str">
        <x:v>Aquisição de gêneros alimentícios para alimentação escolar da agricultura familiar</x:v>
      </x:c>
      <x:c r="K40" s="8" t="str">
        <x:v>Chamada pública</x:v>
      </x:c>
      <x:c r="L40" s="15"/>
      <x:c r="M40" s="8"/>
      <x:c r="N40" s="8" t="str">
        <x:v>https://sites.google.com/edu.mt.gov.br/drepva/coordenadorias/coadm/certames-2025</x:v>
      </x:c>
      <x:c r="O40" s="8" t="str">
        <x:v>https://drive.google.com/file/d/1hKjjjUAavvzqwoLRUv5XFkyE7VZ0tmp4/view?usp=drive_link</x:v>
      </x:c>
      <x:c r="P40" s="8" t="str">
        <x:v>DOCUMENTOS_FORA_ESCOPO_OU_CONFLITANTES/10_PRIMAVERA_DO_LESTE/DOC-0040_DOC-0040.pdf</x:v>
      </x:c>
      <x:c r="Q40" s="8" t="str">
        <x:v>BAIXADO_VALIDADO</x:v>
      </x:c>
      <x:c r="R40" s="8" t="str">
        <x:v>FORA_ESCOPO_2026</x:v>
      </x:c>
      <x:c r="S40" s="8" t="str">
        <x:v>Publicação de novembro/dezembro de 2025 preparada para 2026; alguns textos reutilizam ano 2025. Bloquear importação até revisão documental.</x:v>
      </x:c>
      <x:c r="T40" s="8" t="str"/>
    </x:row>
    <x:row r="41" ht="84" customHeight="1">
      <x:c r="A41" s="8" t="str">
        <x:v>ED-0037</x:v>
      </x:c>
      <x:c r="B41" s="8" t="str">
        <x:v>Primavera do Leste</x:v>
      </x:c>
      <x:c r="C41" s="8" t="str">
        <x:v>Primavera do Leste</x:v>
      </x:c>
      <x:c r="D41" s="8"/>
      <x:c r="E41" s="8"/>
      <x:c r="F41" s="8" t="str">
        <x:v>007/2025</x:v>
      </x:c>
      <x:c r="G41" s="8" t="n">
        <x:v>2025</x:v>
      </x:c>
      <x:c r="H41" s="8"/>
      <x:c r="I41" s="8"/>
      <x:c r="J41" s="8" t="str">
        <x:v>Aquisição de gêneros alimentícios para alimentação escolar da agricultura familiar</x:v>
      </x:c>
      <x:c r="K41" s="8" t="str">
        <x:v>Chamada pública</x:v>
      </x:c>
      <x:c r="L41" s="15"/>
      <x:c r="M41" s="8"/>
      <x:c r="N41" s="8" t="str">
        <x:v>https://sites.google.com/edu.mt.gov.br/drepva/coordenadorias/coadm/certames-2025</x:v>
      </x:c>
      <x:c r="O41" s="8" t="str">
        <x:v>https://drive.google.com/file/d/11WTxQ7cYjRQ36rin-umxWwmZPZRcj-QU/view?usp=sharing</x:v>
      </x:c>
      <x:c r="P41" s="8" t="str">
        <x:v>DOCUMENTOS_FORA_ESCOPO_OU_CONFLITANTES/10_PRIMAVERA_DO_LESTE/DOC-0041_DOC-0041.pdf</x:v>
      </x:c>
      <x:c r="Q41" s="8" t="str">
        <x:v>BAIXADO_VALIDADO</x:v>
      </x:c>
      <x:c r="R41" s="8" t="str">
        <x:v>CONFLITO_EXERCICIO</x:v>
      </x:c>
      <x:c r="S41" s="8" t="str">
        <x:v>Publicação de novembro/dezembro de 2025 preparada para 2026; alguns textos reutilizam ano 2025. Bloquear importação até revisão documental.</x:v>
      </x:c>
      <x:c r="T41" s="8" t="str"/>
    </x:row>
    <x:row r="42" ht="84" customHeight="1">
      <x:c r="A42" s="8" t="str">
        <x:v>ED-0038</x:v>
      </x:c>
      <x:c r="B42" s="8" t="str">
        <x:v>Primavera do Leste</x:v>
      </x:c>
      <x:c r="C42" s="8" t="str">
        <x:v>Primavera do Leste</x:v>
      </x:c>
      <x:c r="D42" s="8"/>
      <x:c r="E42" s="8"/>
      <x:c r="F42" s="8" t="str">
        <x:v>006/2025</x:v>
      </x:c>
      <x:c r="G42" s="8" t="n">
        <x:v>2025</x:v>
      </x:c>
      <x:c r="H42" s="8"/>
      <x:c r="I42" s="8"/>
      <x:c r="J42" s="8" t="str">
        <x:v>Aquisição de gêneros alimentícios para alimentação escolar da agricultura familiar</x:v>
      </x:c>
      <x:c r="K42" s="8" t="str">
        <x:v>Chamada pública</x:v>
      </x:c>
      <x:c r="L42" s="15"/>
      <x:c r="M42" s="8"/>
      <x:c r="N42" s="8" t="str">
        <x:v>https://sites.google.com/edu.mt.gov.br/drepva/coordenadorias/coadm/certames-2025</x:v>
      </x:c>
      <x:c r="O42" s="8" t="str">
        <x:v>https://drive.google.com/file/d/1oshlg6_JFjkOBsfOCm9iThMWUKROxpXS/view?usp=drive_link</x:v>
      </x:c>
      <x:c r="P42" s="8" t="str">
        <x:v>DOCUMENTOS_FORA_ESCOPO_OU_CONFLITANTES/10_PRIMAVERA_DO_LESTE/DOC-0042_DOC-0042.pdf</x:v>
      </x:c>
      <x:c r="Q42" s="8" t="str">
        <x:v>BAIXADO_VALIDADO</x:v>
      </x:c>
      <x:c r="R42" s="8" t="str">
        <x:v>CONFLITO_EXERCICIO</x:v>
      </x:c>
      <x:c r="S42" s="8" t="str">
        <x:v>Publicação de novembro/dezembro de 2025 preparada para 2026; alguns textos reutilizam ano 2025. Bloquear importação até revisão documental.</x:v>
      </x:c>
      <x:c r="T42" s="8" t="str"/>
    </x:row>
    <x:row r="43" ht="84" customHeight="1">
      <x:c r="A43" s="8" t="str">
        <x:v>ED-0039</x:v>
      </x:c>
      <x:c r="B43" s="8" t="str">
        <x:v>Primavera do Leste</x:v>
      </x:c>
      <x:c r="C43" s="8" t="str">
        <x:v>Primavera do Leste</x:v>
      </x:c>
      <x:c r="D43" s="8"/>
      <x:c r="E43" s="8"/>
      <x:c r="F43" s="8" t="str">
        <x:v>005/2025</x:v>
      </x:c>
      <x:c r="G43" s="8" t="n">
        <x:v>2025</x:v>
      </x:c>
      <x:c r="H43" s="8"/>
      <x:c r="I43" s="8" t="n">
        <x:v>2026</x:v>
      </x:c>
      <x:c r="J43" s="8" t="str">
        <x:v>Aquisição de gêneros alimentícios para alimentação escolar da agricultura familiar</x:v>
      </x:c>
      <x:c r="K43" s="8" t="str">
        <x:v>Chamada pública</x:v>
      </x:c>
      <x:c r="L43" s="15"/>
      <x:c r="M43" s="8"/>
      <x:c r="N43" s="8" t="str">
        <x:v>https://sites.google.com/edu.mt.gov.br/drepva/coordenadorias/coadm/certames-2025</x:v>
      </x:c>
      <x:c r="O43" s="8" t="str">
        <x:v>https://drive.google.com/file/d/1dJSfMI4DTtzf0iEWyeJgPXuJjGThhhQn/view?usp=drive_link</x:v>
      </x:c>
      <x:c r="P43" s="8" t="str">
        <x:v>DOCUMENTOS_FORA_ESCOPO_OU_CONFLITANTES/10_PRIMAVERA_DO_LESTE/DOC-0043_DOC-0043.pdf</x:v>
      </x:c>
      <x:c r="Q43" s="8" t="str">
        <x:v>BAIXADO_VALIDADO</x:v>
      </x:c>
      <x:c r="R43" s="8" t="str">
        <x:v>FORA_ESCOPO_2026</x:v>
      </x:c>
      <x:c r="S43" s="8" t="str">
        <x:v>Publicação de novembro/dezembro de 2025 preparada para 2026; alguns textos reutilizam ano 2025. Bloquear importação até revisão documental.</x:v>
      </x:c>
      <x:c r="T43" s="8" t="str"/>
    </x:row>
    <x:row r="44" ht="84" customHeight="1">
      <x:c r="A44" s="8" t="str">
        <x:v>ED-0040</x:v>
      </x:c>
      <x:c r="B44" s="8" t="str">
        <x:v>Primavera do Leste</x:v>
      </x:c>
      <x:c r="C44" s="8" t="str">
        <x:v>Carlinda</x:v>
      </x:c>
      <x:c r="D44" s="8"/>
      <x:c r="E44" s="8"/>
      <x:c r="F44" s="8" t="str">
        <x:v>003/2025</x:v>
      </x:c>
      <x:c r="G44" s="8" t="n">
        <x:v>2025</x:v>
      </x:c>
      <x:c r="H44" s="8"/>
      <x:c r="I44" s="8" t="n">
        <x:v>2026</x:v>
      </x:c>
      <x:c r="J44" s="8" t="str">
        <x:v>Aquisição de gêneros alimentícios para alimentação escolar da agricultura familiar</x:v>
      </x:c>
      <x:c r="K44" s="8" t="str">
        <x:v>Chamada pública</x:v>
      </x:c>
      <x:c r="L44" s="15"/>
      <x:c r="M44" s="8"/>
      <x:c r="N44" s="8" t="str">
        <x:v>https://sites.google.com/edu.mt.gov.br/drepva/coordenadorias/coadm/certames-2025</x:v>
      </x:c>
      <x:c r="O44" s="8" t="str">
        <x:v>https://drive.google.com/file/d/1Apt0mpLmRSon4T6wJTwCpQLheRbVx5Bv/view?usp=drive_link</x:v>
      </x:c>
      <x:c r="P44" s="8" t="str">
        <x:v>DOCUMENTOS_FORA_ESCOPO_OU_CONFLITANTES/10_PRIMAVERA_DO_LESTE/DOC-0044_DOC-0044.pdf</x:v>
      </x:c>
      <x:c r="Q44" s="8" t="str">
        <x:v>BAIXADO_VALIDADO</x:v>
      </x:c>
      <x:c r="R44" s="8" t="str">
        <x:v>FORA_ESCOPO_2026</x:v>
      </x:c>
      <x:c r="S44" s="8" t="str">
        <x:v>Publicação de novembro/dezembro de 2025 preparada para 2026; alguns textos reutilizam ano 2025. Bloquear importação até revisão documental.</x:v>
      </x:c>
      <x:c r="T44" s="8" t="str"/>
    </x:row>
    <x:row r="45" ht="84" customHeight="1">
      <x:c r="A45" s="8" t="str">
        <x:v>ED-0041</x:v>
      </x:c>
      <x:c r="B45" s="8" t="str">
        <x:v>Primavera do Leste</x:v>
      </x:c>
      <x:c r="C45" s="8" t="str">
        <x:v>Primavera do Leste</x:v>
      </x:c>
      <x:c r="D45" s="8"/>
      <x:c r="E45" s="8"/>
      <x:c r="F45" s="8" t="str">
        <x:v>004/2025</x:v>
      </x:c>
      <x:c r="G45" s="8" t="n">
        <x:v>2025</x:v>
      </x:c>
      <x:c r="H45" s="8"/>
      <x:c r="I45" s="8" t="n">
        <x:v>2026</x:v>
      </x:c>
      <x:c r="J45" s="8" t="str">
        <x:v>Aquisição de gêneros alimentícios para alimentação escolar da agricultura familiar</x:v>
      </x:c>
      <x:c r="K45" s="8" t="str">
        <x:v>Chamada pública</x:v>
      </x:c>
      <x:c r="L45" s="15"/>
      <x:c r="M45" s="8"/>
      <x:c r="N45" s="8" t="str">
        <x:v>https://sites.google.com/edu.mt.gov.br/drepva/coordenadorias/coadm/certames-2025</x:v>
      </x:c>
      <x:c r="O45" s="8" t="str">
        <x:v>https://drive.google.com/file/d/155Ya79RS0h0Phrfr8W2FUMLSk25SUBUZ/view?usp=drive_link</x:v>
      </x:c>
      <x:c r="P45" s="8" t="str">
        <x:v>DOCUMENTOS_FORA_ESCOPO_OU_CONFLITANTES/10_PRIMAVERA_DO_LESTE/DOC-0045_DOC-0045.pdf</x:v>
      </x:c>
      <x:c r="Q45" s="8" t="str">
        <x:v>BAIXADO_VALIDADO</x:v>
      </x:c>
      <x:c r="R45" s="8" t="str">
        <x:v>FORA_ESCOPO_2026</x:v>
      </x:c>
      <x:c r="S45" s="8" t="str">
        <x:v>Publicação de novembro/dezembro de 2025 preparada para 2026; alguns textos reutilizam ano 2025. Bloquear importação até revisão documental.</x:v>
      </x:c>
      <x:c r="T45" s="8" t="str"/>
    </x:row>
    <x:row r="46" ht="84" customHeight="1">
      <x:c r="A46" s="8" t="str">
        <x:v>ED-0042</x:v>
      </x:c>
      <x:c r="B46" s="8" t="str">
        <x:v>Primavera do Leste</x:v>
      </x:c>
      <x:c r="C46" s="8" t="str">
        <x:v>Primavera do Leste</x:v>
      </x:c>
      <x:c r="D46" s="8"/>
      <x:c r="E46" s="8"/>
      <x:c r="F46" s="8" t="str">
        <x:v>003/2025</x:v>
      </x:c>
      <x:c r="G46" s="8" t="n">
        <x:v>2025</x:v>
      </x:c>
      <x:c r="H46" s="8"/>
      <x:c r="I46" s="8" t="n">
        <x:v>2026</x:v>
      </x:c>
      <x:c r="J46" s="8" t="str">
        <x:v>Aquisição de gêneros alimentícios para alimentação escolar da agricultura familiar</x:v>
      </x:c>
      <x:c r="K46" s="8" t="str">
        <x:v>Chamada pública</x:v>
      </x:c>
      <x:c r="L46" s="15"/>
      <x:c r="M46" s="8"/>
      <x:c r="N46" s="8" t="str">
        <x:v>https://sites.google.com/edu.mt.gov.br/drepva/coordenadorias/coadm/certames-2025</x:v>
      </x:c>
      <x:c r="O46" s="8" t="str">
        <x:v>https://drive.google.com/file/d/1FeVRDtsX6IrvS2jZ8OjU87z4A2pwQyRA/view?usp=drive_link</x:v>
      </x:c>
      <x:c r="P46" s="8" t="str">
        <x:v>DOCUMENTOS_FORA_ESCOPO_OU_CONFLITANTES/10_PRIMAVERA_DO_LESTE/DOC-0046_DOC-0046.pdf</x:v>
      </x:c>
      <x:c r="Q46" s="8" t="str">
        <x:v>BAIXADO_VALIDADO</x:v>
      </x:c>
      <x:c r="R46" s="8" t="str">
        <x:v>FORA_ESCOPO_2026</x:v>
      </x:c>
      <x:c r="S46" s="8" t="str">
        <x:v>Publicação de novembro/dezembro de 2025 preparada para 2026; alguns textos reutilizam ano 2025. Bloquear importação até revisão documental.</x:v>
      </x:c>
      <x:c r="T46" s="8" t="str"/>
    </x:row>
    <x:row r="47" ht="84" customHeight="1">
      <x:c r="A47" s="8" t="str">
        <x:v>ED-0043</x:v>
      </x:c>
      <x:c r="B47" s="8" t="str">
        <x:v>Primavera do Leste</x:v>
      </x:c>
      <x:c r="C47" s="8" t="str">
        <x:v>Primavera do Leste</x:v>
      </x:c>
      <x:c r="D47" s="8"/>
      <x:c r="E47" s="8"/>
      <x:c r="F47" s="8" t="str">
        <x:v>002/2025</x:v>
      </x:c>
      <x:c r="G47" s="8" t="n">
        <x:v>2025</x:v>
      </x:c>
      <x:c r="H47" s="8"/>
      <x:c r="I47" s="8" t="n">
        <x:v>2026</x:v>
      </x:c>
      <x:c r="J47" s="8" t="str">
        <x:v>Aquisição de gêneros alimentícios para alimentação escolar da agricultura familiar</x:v>
      </x:c>
      <x:c r="K47" s="8" t="str">
        <x:v>Chamada pública</x:v>
      </x:c>
      <x:c r="L47" s="15"/>
      <x:c r="M47" s="8"/>
      <x:c r="N47" s="8" t="str">
        <x:v>https://sites.google.com/edu.mt.gov.br/drepva/coordenadorias/coadm/certames-2025</x:v>
      </x:c>
      <x:c r="O47" s="8" t="str">
        <x:v>https://drive.google.com/file/d/1vUp5LfrsB_Cz_szM9Zhpg-5oO7XckfF0/view?usp=sharing</x:v>
      </x:c>
      <x:c r="P47" s="8" t="str">
        <x:v>DOCUMENTOS_FORA_ESCOPO_OU_CONFLITANTES/10_PRIMAVERA_DO_LESTE/DOC-0047_DOC-0047.pdf</x:v>
      </x:c>
      <x:c r="Q47" s="8" t="str">
        <x:v>BAIXADO_VALIDADO</x:v>
      </x:c>
      <x:c r="R47" s="8" t="str">
        <x:v>FORA_ESCOPO_2026</x:v>
      </x:c>
      <x:c r="S47" s="8" t="str">
        <x:v>Publicação de novembro/dezembro de 2025 preparada para 2026; alguns textos reutilizam ano 2025. Bloquear importação até revisão documental.</x:v>
      </x:c>
      <x:c r="T47" s="8" t="str"/>
    </x:row>
    <x:row r="48" ht="84" customHeight="1">
      <x:c r="A48" s="8" t="str">
        <x:v>ED-0044</x:v>
      </x:c>
      <x:c r="B48" s="8" t="str">
        <x:v>Primavera do Leste</x:v>
      </x:c>
      <x:c r="C48" s="8" t="str">
        <x:v>Paranatinga - urbana</x:v>
      </x:c>
      <x:c r="D48" s="8"/>
      <x:c r="E48" s="8"/>
      <x:c r="F48" s="8" t="str">
        <x:v>003/2025</x:v>
      </x:c>
      <x:c r="G48" s="8" t="n">
        <x:v>2025</x:v>
      </x:c>
      <x:c r="H48" s="8"/>
      <x:c r="I48" s="8" t="n">
        <x:v>2025</x:v>
      </x:c>
      <x:c r="J48" s="8" t="str">
        <x:v>Aquisição de gêneros alimentícios para alimentação escolar</x:v>
      </x:c>
      <x:c r="K48" s="8" t="str">
        <x:v>Pregão</x:v>
      </x:c>
      <x:c r="L48" s="15"/>
      <x:c r="M48" s="8"/>
      <x:c r="N48" s="8" t="str">
        <x:v>https://sites.google.com/edu.mt.gov.br/drepva/coordenadorias/coadm/certames-2025</x:v>
      </x:c>
      <x:c r="O48" s="8" t="str">
        <x:v>https://drive.google.com/file/d/1ROfDZgd_0HFbAs_zga1X4lpu8wdWyKIb/view?usp=drive_link</x:v>
      </x:c>
      <x:c r="P48" s="8" t="str">
        <x:v>PNAE_MT_2025/10_PRIMAVERA_DO_LESTE/DOC-0048_DOC-0048.pdf</x:v>
      </x:c>
      <x:c r="Q48" s="8" t="str">
        <x:v>BAIXADO_VALIDADO</x:v>
      </x:c>
      <x:c r="R48" s="8" t="str">
        <x:v>PREGAO_2025</x:v>
      </x:c>
      <x:c r="S48" s="8" t="str">
        <x:v>Categoria separada da agricultura familiar. Não importar no módulo de chamadas públicas.</x:v>
      </x:c>
      <x:c r="T48" s="8" t="str"/>
    </x:row>
    <x:row r="49" ht="84" customHeight="1">
      <x:c r="A49" s="8" t="str">
        <x:v>ED-0045</x:v>
      </x:c>
      <x:c r="B49" s="8" t="str">
        <x:v>Primavera do Leste</x:v>
      </x:c>
      <x:c r="C49" s="8" t="str">
        <x:v>Primavera do Leste</x:v>
      </x:c>
      <x:c r="D49" s="8"/>
      <x:c r="E49" s="8"/>
      <x:c r="F49" s="8"/>
      <x:c r="G49" s="8"/>
      <x:c r="H49" s="8"/>
      <x:c r="I49" s="8" t="n">
        <x:v>2025</x:v>
      </x:c>
      <x:c r="J49" s="8" t="str">
        <x:v>Aquisição de gêneros alimentícios para alimentação escolar</x:v>
      </x:c>
      <x:c r="K49" s="8" t="str">
        <x:v>Pregão</x:v>
      </x:c>
      <x:c r="L49" s="15"/>
      <x:c r="M49" s="8"/>
      <x:c r="N49" s="8" t="str">
        <x:v>https://sites.google.com/edu.mt.gov.br/drepva/coordenadorias/coadm/certames-2025</x:v>
      </x:c>
      <x:c r="O49" s="8" t="str">
        <x:v>https://drive.google.com/file/d/1Ff8DJ5Z458Y-Pqp5bTpMz-t_j4oUmEpn/view?usp=drive_link</x:v>
      </x:c>
      <x:c r="P49" s="8" t="str">
        <x:v>PNAE_MT_2025/10_PRIMAVERA_DO_LESTE/DOC-0049_DOC-0049.pdf</x:v>
      </x:c>
      <x:c r="Q49" s="8" t="str">
        <x:v>BAIXADO_VALIDADO</x:v>
      </x:c>
      <x:c r="R49" s="8" t="str">
        <x:v>PREGAO_2025</x:v>
      </x:c>
      <x:c r="S49" s="8" t="str">
        <x:v>Categoria separada da agricultura familiar. Não importar no módulo de chamadas públicas.</x:v>
      </x:c>
      <x:c r="T49" s="8" t="str"/>
    </x:row>
    <x:row r="50" ht="84" customHeight="1">
      <x:c r="A50" s="8" t="str">
        <x:v>ED-0046</x:v>
      </x:c>
      <x:c r="B50" s="8" t="str">
        <x:v>Primavera do Leste</x:v>
      </x:c>
      <x:c r="C50" s="8" t="str">
        <x:v>Poxoréu</x:v>
      </x:c>
      <x:c r="D50" s="8"/>
      <x:c r="E50" s="8"/>
      <x:c r="F50" s="8" t="str">
        <x:v>001/2025</x:v>
      </x:c>
      <x:c r="G50" s="8" t="n">
        <x:v>2025</x:v>
      </x:c>
      <x:c r="H50" s="8"/>
      <x:c r="I50" s="8" t="n">
        <x:v>2025</x:v>
      </x:c>
      <x:c r="J50" s="8" t="str">
        <x:v>Aquisição de gêneros alimentícios para alimentação escolar da agricultura familiar</x:v>
      </x:c>
      <x:c r="K50" s="8" t="str">
        <x:v>Chamada pública</x:v>
      </x:c>
      <x:c r="L50" s="15"/>
      <x:c r="M50" s="8" t="str">
        <x:v>Histórico localizado; situação administrativa não inferida</x:v>
      </x:c>
      <x:c r="N50" s="8" t="str">
        <x:v>https://sites.google.com/edu.mt.gov.br/drepva/coordenadorias/coadm/certames-2025</x:v>
      </x:c>
      <x:c r="O50" s="8" t="str">
        <x:v>https://drive.google.com/file/d/1ankz-P-NgVCs0DfIGJVEswIzkyqATLOt/view?usp=drive_link</x:v>
      </x:c>
      <x:c r="P50" s="8" t="str">
        <x:v>PNAE_MT_2025/10_PRIMAVERA_DO_LESTE/DOC-0050_DOC-0050.pdf</x:v>
      </x:c>
      <x:c r="Q50" s="8" t="str">
        <x:v>BAIXADO_VALIDADO</x:v>
      </x:c>
      <x:c r="R50" s="8" t="str">
        <x:v>ELEGIVEL_2025</x:v>
      </x:c>
      <x:c r="S50" s="8" t="str">
        <x:v>Ano letivo de 2025 confirmado no PDF; dados extraídos sujeitos à conferência administrativa.</x:v>
      </x:c>
      <x:c r="T50" s="8" t="str">
        <x:v>Escopo territorial preservado. CNPJ da DRE não substitui CNPJ da escola/CDCE.</x:v>
      </x:c>
    </x:row>
    <x:row r="51" ht="84" customHeight="1">
      <x:c r="A51" s="8" t="str">
        <x:v>ED-0047</x:v>
      </x:c>
      <x:c r="B51" s="8" t="str">
        <x:v>Primavera do Leste</x:v>
      </x:c>
      <x:c r="C51" s="8" t="str">
        <x:v>Primavera do Leste</x:v>
      </x:c>
      <x:c r="D51" s="8"/>
      <x:c r="E51" s="8"/>
      <x:c r="F51" s="8" t="str">
        <x:v>002/2025</x:v>
      </x:c>
      <x:c r="G51" s="8" t="n">
        <x:v>2025</x:v>
      </x:c>
      <x:c r="H51" s="8"/>
      <x:c r="I51" s="8" t="n">
        <x:v>2025</x:v>
      </x:c>
      <x:c r="J51" s="8" t="str">
        <x:v>Aquisição de gêneros alimentícios para alimentação escolar</x:v>
      </x:c>
      <x:c r="K51" s="8" t="str">
        <x:v>Pregão</x:v>
      </x:c>
      <x:c r="L51" s="15"/>
      <x:c r="M51" s="8"/>
      <x:c r="N51" s="8" t="str">
        <x:v>https://sites.google.com/edu.mt.gov.br/drepva/coordenadorias/coadm/certames-2025</x:v>
      </x:c>
      <x:c r="O51" s="8" t="str">
        <x:v>https://drive.google.com/file/d/16n6QQItwSAsgwoe4dX5Lovqa5cS8EOLe/view?usp=drive_link</x:v>
      </x:c>
      <x:c r="P51" s="8" t="str">
        <x:v>PNAE_MT_2025/10_PRIMAVERA_DO_LESTE/DOC-0051_DOC-0051.pdf</x:v>
      </x:c>
      <x:c r="Q51" s="8" t="str">
        <x:v>BAIXADO_VALIDADO</x:v>
      </x:c>
      <x:c r="R51" s="8" t="str">
        <x:v>PREGAO_2025</x:v>
      </x:c>
      <x:c r="S51" s="8" t="str">
        <x:v>Categoria separada da agricultura familiar. Não importar no módulo de chamadas públicas.</x:v>
      </x:c>
      <x:c r="T51" s="8" t="str"/>
    </x:row>
    <x:row r="52" ht="84" customHeight="1">
      <x:c r="A52" s="8" t="str">
        <x:v>ED-0048</x:v>
      </x:c>
      <x:c r="B52" s="8" t="str">
        <x:v>Primavera do Leste</x:v>
      </x:c>
      <x:c r="C52" s="8" t="str">
        <x:v>Santo Antônio do Leste</x:v>
      </x:c>
      <x:c r="D52" s="8"/>
      <x:c r="E52" s="8"/>
      <x:c r="F52" s="8" t="str">
        <x:v>001/2025</x:v>
      </x:c>
      <x:c r="G52" s="8" t="n">
        <x:v>2025</x:v>
      </x:c>
      <x:c r="H52" s="8"/>
      <x:c r="I52" s="8" t="n">
        <x:v>2025</x:v>
      </x:c>
      <x:c r="J52" s="8" t="str">
        <x:v>Aquisição de gêneros alimentícios para alimentação escolar</x:v>
      </x:c>
      <x:c r="K52" s="8" t="str">
        <x:v>Pregão</x:v>
      </x:c>
      <x:c r="L52" s="15"/>
      <x:c r="M52" s="8"/>
      <x:c r="N52" s="8" t="str">
        <x:v>https://sites.google.com/edu.mt.gov.br/drepva/coordenadorias/coadm/certames-2025</x:v>
      </x:c>
      <x:c r="O52" s="8" t="str">
        <x:v>https://drive.google.com/file/d/1lmzHuVSvCENKWZqtCnxoLugonYRk5q4b/view?usp=drive_link</x:v>
      </x:c>
      <x:c r="P52" s="8" t="str">
        <x:v>PNAE_MT_2025/10_PRIMAVERA_DO_LESTE/DOC-0052_DOC-0052.pdf</x:v>
      </x:c>
      <x:c r="Q52" s="8" t="str">
        <x:v>BAIXADO_VALIDADO</x:v>
      </x:c>
      <x:c r="R52" s="8" t="str">
        <x:v>PREGAO_2025</x:v>
      </x:c>
      <x:c r="S52" s="8" t="str">
        <x:v>Categoria separada da agricultura familiar. Não importar no módulo de chamadas públicas.</x:v>
      </x:c>
      <x:c r="T52" s="8" t="str"/>
    </x:row>
    <x:row r="53" ht="84" customHeight="1">
      <x:c r="A53" s="8" t="str">
        <x:v>ED-0049</x:v>
      </x:c>
      <x:c r="B53" s="8" t="str">
        <x:v>Primavera do Leste</x:v>
      </x:c>
      <x:c r="C53" s="8" t="str">
        <x:v>Santo Antônio do Leste</x:v>
      </x:c>
      <x:c r="D53" s="8"/>
      <x:c r="E53" s="8"/>
      <x:c r="F53" s="8" t="str">
        <x:v>012/2024</x:v>
      </x:c>
      <x:c r="G53" s="8" t="n">
        <x:v>2024</x:v>
      </x:c>
      <x:c r="H53" s="8"/>
      <x:c r="I53" s="8" t="n">
        <x:v>2025</x:v>
      </x:c>
      <x:c r="J53" s="8" t="str">
        <x:v>Aquisição de gêneros alimentícios para alimentação escolar</x:v>
      </x:c>
      <x:c r="K53" s="8" t="str">
        <x:v>Pregão</x:v>
      </x:c>
      <x:c r="L53" s="15"/>
      <x:c r="M53" s="8"/>
      <x:c r="N53" s="8" t="str">
        <x:v>https://sites.google.com/edu.mt.gov.br/drepva/coordenadorias/coadm/certames-2025</x:v>
      </x:c>
      <x:c r="O53" s="8" t="str">
        <x:v>https://drive.google.com/file/d/1jvcAeDDGc-PaBDXrTRLiD2QbzJjaOhvE/view?usp=drive_link</x:v>
      </x:c>
      <x:c r="P53" s="8" t="str">
        <x:v>PNAE_MT_2025/10_PRIMAVERA_DO_LESTE/DOC-0065_DOC-0065.pdf</x:v>
      </x:c>
      <x:c r="Q53" s="8" t="str">
        <x:v>BAIXADO_VALIDADO</x:v>
      </x:c>
      <x:c r="R53" s="8" t="str">
        <x:v>PREGAO_2025</x:v>
      </x:c>
      <x:c r="S53" s="8" t="str">
        <x:v>Categoria separada da agricultura familiar. Não importar no módulo de chamadas públicas.</x:v>
      </x:c>
      <x:c r="T53" s="8" t="str"/>
    </x:row>
    <x:row r="54" ht="84" customHeight="1">
      <x:c r="A54" s="8" t="str">
        <x:v>ED-0050</x:v>
      </x:c>
      <x:c r="B54" s="8" t="str">
        <x:v>Primavera do Leste</x:v>
      </x:c>
      <x:c r="C54" s="8" t="str">
        <x:v>Santo Antônio do Leste</x:v>
      </x:c>
      <x:c r="D54" s="8"/>
      <x:c r="E54" s="8"/>
      <x:c r="F54" s="8" t="str">
        <x:v>009/2024</x:v>
      </x:c>
      <x:c r="G54" s="8" t="n">
        <x:v>2024</x:v>
      </x:c>
      <x:c r="H54" s="8"/>
      <x:c r="I54" s="8"/>
      <x:c r="J54" s="8" t="str">
        <x:v>Aquisição de gêneros alimentícios para alimentação escolar da agricultura familiar</x:v>
      </x:c>
      <x:c r="K54" s="8" t="str">
        <x:v>Chamada pública</x:v>
      </x:c>
      <x:c r="L54" s="15"/>
      <x:c r="M54" s="8"/>
      <x:c r="N54" s="8" t="str">
        <x:v>https://sites.google.com/edu.mt.gov.br/drepva/coordenadorias/coadm/certames-2025</x:v>
      </x:c>
      <x:c r="O54" s="8" t="str">
        <x:v>https://drive.google.com/file/d/1ZOyOp4RM83qtRR9bmDlTKbPBme1_gTQH/view?usp=drive_link</x:v>
      </x:c>
      <x:c r="P54" s="8" t="str">
        <x:v>PNAE_MT_2025/10_PRIMAVERA_DO_LESTE/DOC-0055_DOC-0055.pdf</x:v>
      </x:c>
      <x:c r="Q54" s="8" t="str">
        <x:v>BAIXADO_VALIDADO</x:v>
      </x:c>
      <x:c r="R54" s="8" t="str">
        <x:v>PENDENTE_EDITAL_COMPLETO</x:v>
      </x:c>
      <x:c r="S54" s="8" t="str">
        <x:v>Página do Diário Oficial com múltiplos avisos. Vínculo vem do contexto da publicação; falta conferir o edital integral.</x:v>
      </x:c>
      <x:c r="T54" s="8" t="str"/>
    </x:row>
    <x:row r="55" ht="84" customHeight="1">
      <x:c r="A55" s="8" t="str">
        <x:v>ED-0051</x:v>
      </x:c>
      <x:c r="B55" s="8" t="str">
        <x:v>Primavera do Leste</x:v>
      </x:c>
      <x:c r="C55" s="8" t="str">
        <x:v>Paranatinga - urbana</x:v>
      </x:c>
      <x:c r="D55" s="8"/>
      <x:c r="E55" s="8"/>
      <x:c r="F55" s="8" t="str">
        <x:v>014/2024</x:v>
      </x:c>
      <x:c r="G55" s="8" t="n">
        <x:v>2024</x:v>
      </x:c>
      <x:c r="H55" s="8"/>
      <x:c r="I55" s="8" t="n">
        <x:v>2025</x:v>
      </x:c>
      <x:c r="J55" s="8" t="str">
        <x:v>Aquisição de gêneros alimentícios para alimentação escolar</x:v>
      </x:c>
      <x:c r="K55" s="8" t="str">
        <x:v>Pregão</x:v>
      </x:c>
      <x:c r="L55" s="15"/>
      <x:c r="M55" s="8"/>
      <x:c r="N55" s="8" t="str">
        <x:v>https://sites.google.com/edu.mt.gov.br/drepva/coordenadorias/coadm/certames-2025</x:v>
      </x:c>
      <x:c r="O55" s="8" t="str">
        <x:v>https://drive.google.com/file/d/10Goz6E9hSipACxJ1artyZEApT2JJcnuW/view?usp=drive_link</x:v>
      </x:c>
      <x:c r="P55" s="8" t="str">
        <x:v>PNAE_MT_2025/10_PRIMAVERA_DO_LESTE/DOC-0066_DOC-0066.pdf</x:v>
      </x:c>
      <x:c r="Q55" s="8" t="str">
        <x:v>BAIXADO_VALIDADO</x:v>
      </x:c>
      <x:c r="R55" s="8" t="str">
        <x:v>PREGAO_2025</x:v>
      </x:c>
      <x:c r="S55" s="8" t="str">
        <x:v>Aviso em página do Diário Oficial; edital completo disponível em outro arquivo.</x:v>
      </x:c>
      <x:c r="T55" s="8" t="str"/>
    </x:row>
    <x:row r="56" ht="84" customHeight="1">
      <x:c r="A56" s="8" t="str">
        <x:v>ED-0052</x:v>
      </x:c>
      <x:c r="B56" s="8" t="str">
        <x:v>Primavera do Leste</x:v>
      </x:c>
      <x:c r="C56" s="8" t="str">
        <x:v>Paranatinga - urbana</x:v>
      </x:c>
      <x:c r="D56" s="8"/>
      <x:c r="E56" s="8"/>
      <x:c r="F56" s="8" t="str">
        <x:v>013/2024</x:v>
      </x:c>
      <x:c r="G56" s="8" t="n">
        <x:v>2024</x:v>
      </x:c>
      <x:c r="H56" s="8"/>
      <x:c r="I56" s="8"/>
      <x:c r="J56" s="8" t="str">
        <x:v>Aquisição de gêneros alimentícios para alimentação escolar da agricultura familiar</x:v>
      </x:c>
      <x:c r="K56" s="8" t="str">
        <x:v>Chamada pública</x:v>
      </x:c>
      <x:c r="L56" s="15"/>
      <x:c r="M56" s="8"/>
      <x:c r="N56" s="8" t="str">
        <x:v>https://sites.google.com/edu.mt.gov.br/drepva/coordenadorias/coadm/certames-2025</x:v>
      </x:c>
      <x:c r="O56" s="8" t="str">
        <x:v>https://drive.google.com/file/d/1FTJ9Bu_XxE5WkradLZtsquDo3YF36RU2/view?usp=drive_link</x:v>
      </x:c>
      <x:c r="P56" s="8" t="str">
        <x:v>PNAE_MT_2025/10_PRIMAVERA_DO_LESTE/DOC-0057_DOC-0057.pdf</x:v>
      </x:c>
      <x:c r="Q56" s="8" t="str">
        <x:v>BAIXADO_VALIDADO</x:v>
      </x:c>
      <x:c r="R56" s="8" t="str">
        <x:v>PENDENTE_EDITAL_COMPLETO</x:v>
      </x:c>
      <x:c r="S56" s="8" t="str">
        <x:v>Página do Diário Oficial com múltiplos avisos. Vínculo vem do contexto da publicação; falta conferir o edital integral.</x:v>
      </x:c>
      <x:c r="T56" s="8" t="str"/>
    </x:row>
    <x:row r="57" ht="84" customHeight="1">
      <x:c r="A57" s="8" t="str">
        <x:v>ED-0053</x:v>
      </x:c>
      <x:c r="B57" s="8" t="str">
        <x:v>Primavera do Leste</x:v>
      </x:c>
      <x:c r="C57" s="8" t="str">
        <x:v>Primavera do Leste</x:v>
      </x:c>
      <x:c r="D57" s="8"/>
      <x:c r="E57" s="8"/>
      <x:c r="F57" s="8" t="str">
        <x:v>010/2024</x:v>
      </x:c>
      <x:c r="G57" s="8" t="n">
        <x:v>2024</x:v>
      </x:c>
      <x:c r="H57" s="8"/>
      <x:c r="I57" s="8"/>
      <x:c r="J57" s="8" t="str">
        <x:v>Aquisição de gêneros alimentícios para alimentação escolar da agricultura familiar</x:v>
      </x:c>
      <x:c r="K57" s="8" t="str">
        <x:v>Chamada pública</x:v>
      </x:c>
      <x:c r="L57" s="15"/>
      <x:c r="M57" s="8"/>
      <x:c r="N57" s="8" t="str">
        <x:v>https://sites.google.com/edu.mt.gov.br/drepva/coordenadorias/coadm/certames-2025</x:v>
      </x:c>
      <x:c r="O57" s="8" t="str">
        <x:v>https://drive.google.com/file/d/1dtNrtzLzqkJuIbrhMuc4slA3lF2xIX5M/view?usp=drive_link</x:v>
      </x:c>
      <x:c r="P57" s="8" t="str">
        <x:v>PNAE_MT_2025/10_PRIMAVERA_DO_LESTE/DOC-0058_DOC-0058.pdf</x:v>
      </x:c>
      <x:c r="Q57" s="8" t="str">
        <x:v>BAIXADO_VALIDADO</x:v>
      </x:c>
      <x:c r="R57" s="8" t="str">
        <x:v>PENDENTE_EDITAL_COMPLETO</x:v>
      </x:c>
      <x:c r="S57" s="8" t="str">
        <x:v>Página do Diário Oficial com múltiplos avisos. Vínculo vem do contexto da publicação; falta conferir o edital integral.</x:v>
      </x:c>
      <x:c r="T57" s="8" t="str"/>
    </x:row>
    <x:row r="58" ht="84" customHeight="1">
      <x:c r="A58" s="8" t="str">
        <x:v>ED-0054</x:v>
      </x:c>
      <x:c r="B58" s="8" t="str">
        <x:v>Primavera do Leste</x:v>
      </x:c>
      <x:c r="C58" s="8" t="str">
        <x:v>Poxoréu</x:v>
      </x:c>
      <x:c r="D58" s="8"/>
      <x:c r="E58" s="8"/>
      <x:c r="F58" s="8" t="str">
        <x:v>011/2024</x:v>
      </x:c>
      <x:c r="G58" s="8" t="n">
        <x:v>2024</x:v>
      </x:c>
      <x:c r="H58" s="8"/>
      <x:c r="I58" s="8"/>
      <x:c r="J58" s="8" t="str">
        <x:v>Aquisição de gêneros alimentícios para alimentação escolar da agricultura familiar</x:v>
      </x:c>
      <x:c r="K58" s="8" t="str">
        <x:v>Chamada pública</x:v>
      </x:c>
      <x:c r="L58" s="15"/>
      <x:c r="M58" s="8"/>
      <x:c r="N58" s="8" t="str">
        <x:v>https://sites.google.com/edu.mt.gov.br/drepva/coordenadorias/coadm/certames-2025</x:v>
      </x:c>
      <x:c r="O58" s="8" t="str">
        <x:v>https://drive.google.com/file/d/1Wjo67zqWJI8qfXZK9Y2pW5gBldH0eelK/view?usp=drive_link</x:v>
      </x:c>
      <x:c r="P58" s="8" t="str">
        <x:v>PNAE_MT_2025/10_PRIMAVERA_DO_LESTE/DOC-0059_DOC-0059.pdf</x:v>
      </x:c>
      <x:c r="Q58" s="8" t="str">
        <x:v>BAIXADO_VALIDADO</x:v>
      </x:c>
      <x:c r="R58" s="8" t="str">
        <x:v>PENDENTE_EDITAL_COMPLETO</x:v>
      </x:c>
      <x:c r="S58" s="8" t="str">
        <x:v>Página do Diário Oficial com múltiplos avisos. Vínculo vem do contexto da publicação; falta conferir o edital integral.</x:v>
      </x:c>
      <x:c r="T58" s="8" t="str"/>
    </x:row>
    <x:row r="59" ht="84" customHeight="1">
      <x:c r="A59" s="8" t="str">
        <x:v>ED-0055</x:v>
      </x:c>
      <x:c r="B59" s="8" t="str">
        <x:v>Primavera do Leste</x:v>
      </x:c>
      <x:c r="C59" s="8" t="str">
        <x:v>Campo Verde</x:v>
      </x:c>
      <x:c r="D59" s="8"/>
      <x:c r="E59" s="8"/>
      <x:c r="F59" s="8" t="str">
        <x:v>012/2024</x:v>
      </x:c>
      <x:c r="G59" s="8" t="n">
        <x:v>2024</x:v>
      </x:c>
      <x:c r="H59" s="8"/>
      <x:c r="I59" s="8"/>
      <x:c r="J59" s="8" t="str">
        <x:v>Aquisição de gêneros alimentícios para alimentação escolar da agricultura familiar</x:v>
      </x:c>
      <x:c r="K59" s="8" t="str">
        <x:v>Chamada pública</x:v>
      </x:c>
      <x:c r="L59" s="15"/>
      <x:c r="M59" s="8"/>
      <x:c r="N59" s="8" t="str">
        <x:v>https://sites.google.com/edu.mt.gov.br/drepva/coordenadorias/coadm/certames-2025</x:v>
      </x:c>
      <x:c r="O59" s="8" t="str">
        <x:v>https://drive.google.com/file/d/1g3_xIr5sW6SvM_nkHxgpULhhPnpQb0Us/view?usp=drive_link</x:v>
      </x:c>
      <x:c r="P59" s="8" t="str">
        <x:v>PNAE_MT_2025/10_PRIMAVERA_DO_LESTE/DOC-0060_DOC-0060.pdf</x:v>
      </x:c>
      <x:c r="Q59" s="8" t="str">
        <x:v>BAIXADO_VALIDADO</x:v>
      </x:c>
      <x:c r="R59" s="8" t="str">
        <x:v>PENDENTE_EDITAL_COMPLETO</x:v>
      </x:c>
      <x:c r="S59" s="8" t="str">
        <x:v>Página do Diário Oficial com múltiplos avisos. Vínculo vem do contexto da publicação; falta conferir o edital integral.</x:v>
      </x:c>
      <x:c r="T59" s="8" t="str"/>
    </x:row>
    <x:row r="60" ht="84" customHeight="1">
      <x:c r="A60" s="8" t="str">
        <x:v>ED-0056</x:v>
      </x:c>
      <x:c r="B60" s="8" t="str">
        <x:v>Primavera do Leste</x:v>
      </x:c>
      <x:c r="C60" s="8" t="str">
        <x:v>Gaúcha do Norte</x:v>
      </x:c>
      <x:c r="D60" s="8"/>
      <x:c r="E60" s="8"/>
      <x:c r="F60" s="8" t="str">
        <x:v>009/2024</x:v>
      </x:c>
      <x:c r="G60" s="8" t="n">
        <x:v>2024</x:v>
      </x:c>
      <x:c r="H60" s="8"/>
      <x:c r="I60" s="8" t="n">
        <x:v>2025</x:v>
      </x:c>
      <x:c r="J60" s="8" t="str">
        <x:v>Aquisição de gêneros alimentícios para alimentação escolar</x:v>
      </x:c>
      <x:c r="K60" s="8" t="str">
        <x:v>Pregão</x:v>
      </x:c>
      <x:c r="L60" s="15" t="n">
        <x:v>6588133.23</x:v>
      </x:c>
      <x:c r="M60" s="8"/>
      <x:c r="N60" s="8" t="str">
        <x:v>https://sites.google.com/edu.mt.gov.br/drepva/coordenadorias/coadm/certames-2025</x:v>
      </x:c>
      <x:c r="O60" s="8" t="str">
        <x:v>https://drive.google.com/file/d/1ItBdCrs3RwVBz8I9cZelgals7sts8Xpo/view?usp=drive_link</x:v>
      </x:c>
      <x:c r="P60" s="8" t="str">
        <x:v>PNAE_MT_2025/10_PRIMAVERA_DO_LESTE/DOC-0061_DOC-0061.pdf</x:v>
      </x:c>
      <x:c r="Q60" s="8" t="str">
        <x:v>BAIXADO_VALIDADO</x:v>
      </x:c>
      <x:c r="R60" s="8" t="str">
        <x:v>PREGAO_2025</x:v>
      </x:c>
      <x:c r="S60" s="8" t="str">
        <x:v>Categoria separada da agricultura familiar. Não importar no módulo de chamadas públicas.</x:v>
      </x:c>
      <x:c r="T60" s="8" t="str"/>
    </x:row>
    <x:row r="61" ht="84" customHeight="1">
      <x:c r="A61" s="8" t="str">
        <x:v>ED-0057</x:v>
      </x:c>
      <x:c r="B61" s="8" t="str">
        <x:v>Primavera do Leste</x:v>
      </x:c>
      <x:c r="C61" s="8" t="str">
        <x:v>Primavera do Leste</x:v>
      </x:c>
      <x:c r="D61" s="8"/>
      <x:c r="E61" s="8"/>
      <x:c r="F61" s="8" t="str">
        <x:v>010/2024</x:v>
      </x:c>
      <x:c r="G61" s="8" t="n">
        <x:v>2024</x:v>
      </x:c>
      <x:c r="H61" s="8"/>
      <x:c r="I61" s="8" t="n">
        <x:v>2025</x:v>
      </x:c>
      <x:c r="J61" s="8" t="str">
        <x:v>Aquisição de gêneros alimentícios para alimentação escolar</x:v>
      </x:c>
      <x:c r="K61" s="8" t="str">
        <x:v>Pregão</x:v>
      </x:c>
      <x:c r="L61" s="15" t="n">
        <x:v>15084131.51</x:v>
      </x:c>
      <x:c r="M61" s="8"/>
      <x:c r="N61" s="8" t="str">
        <x:v>https://sites.google.com/edu.mt.gov.br/drepva/coordenadorias/coadm/certames-2025</x:v>
      </x:c>
      <x:c r="O61" s="8" t="str">
        <x:v>https://drive.google.com/file/d/1yVgl9BY0Wz6uLFZVFZ4dkGo9ce0Y5Rws/view?usp=drive_link</x:v>
      </x:c>
      <x:c r="P61" s="8" t="str">
        <x:v>PNAE_MT_2025/10_PRIMAVERA_DO_LESTE/DOC-0062_DOC-0062.pdf</x:v>
      </x:c>
      <x:c r="Q61" s="8" t="str">
        <x:v>BAIXADO_VALIDADO</x:v>
      </x:c>
      <x:c r="R61" s="8" t="str">
        <x:v>PREGAO_2025</x:v>
      </x:c>
      <x:c r="S61" s="8" t="str">
        <x:v>Categoria separada da agricultura familiar. Não importar no módulo de chamadas públicas.</x:v>
      </x:c>
      <x:c r="T61" s="8" t="str"/>
    </x:row>
    <x:row r="62" ht="84" customHeight="1">
      <x:c r="A62" s="8" t="str">
        <x:v>ED-0058</x:v>
      </x:c>
      <x:c r="B62" s="8" t="str">
        <x:v>Primavera do Leste</x:v>
      </x:c>
      <x:c r="C62" s="8" t="str">
        <x:v>Poxoréu</x:v>
      </x:c>
      <x:c r="D62" s="8"/>
      <x:c r="E62" s="8"/>
      <x:c r="F62" s="8" t="str">
        <x:v>011/2024</x:v>
      </x:c>
      <x:c r="G62" s="8" t="n">
        <x:v>2024</x:v>
      </x:c>
      <x:c r="H62" s="8"/>
      <x:c r="I62" s="8" t="n">
        <x:v>2025</x:v>
      </x:c>
      <x:c r="J62" s="8" t="str">
        <x:v>Aquisição de gêneros alimentícios para alimentação escolar</x:v>
      </x:c>
      <x:c r="K62" s="8" t="str">
        <x:v>Pregão</x:v>
      </x:c>
      <x:c r="L62" s="15" t="n">
        <x:v>3601344.17</x:v>
      </x:c>
      <x:c r="M62" s="8"/>
      <x:c r="N62" s="8" t="str">
        <x:v>https://sites.google.com/edu.mt.gov.br/drepva/coordenadorias/coadm/certames-2025</x:v>
      </x:c>
      <x:c r="O62" s="8" t="str">
        <x:v>https://drive.google.com/file/d/1emDxv5nWFjaoF8by6LBj_bf-V7XRkhWI/view?usp=drive_link</x:v>
      </x:c>
      <x:c r="P62" s="8" t="str">
        <x:v>PNAE_MT_2025/10_PRIMAVERA_DO_LESTE/DOC-0063_DOC-0063.pdf</x:v>
      </x:c>
      <x:c r="Q62" s="8" t="str">
        <x:v>BAIXADO_VALIDADO</x:v>
      </x:c>
      <x:c r="R62" s="8" t="str">
        <x:v>PREGAO_2025</x:v>
      </x:c>
      <x:c r="S62" s="8" t="str">
        <x:v>Categoria separada da agricultura familiar. Não importar no módulo de chamadas públicas.</x:v>
      </x:c>
      <x:c r="T62" s="8" t="str"/>
    </x:row>
    <x:row r="63" ht="84" customHeight="1">
      <x:c r="A63" s="8" t="str">
        <x:v>ED-0059</x:v>
      </x:c>
      <x:c r="B63" s="8" t="str">
        <x:v>Primavera do Leste</x:v>
      </x:c>
      <x:c r="C63" s="8" t="str">
        <x:v>Paranatinga - indígena</x:v>
      </x:c>
      <x:c r="D63" s="8"/>
      <x:c r="E63" s="8"/>
      <x:c r="F63" s="8" t="str">
        <x:v>015/2024</x:v>
      </x:c>
      <x:c r="G63" s="8" t="n">
        <x:v>2024</x:v>
      </x:c>
      <x:c r="H63" s="8"/>
      <x:c r="I63" s="8" t="n">
        <x:v>2025</x:v>
      </x:c>
      <x:c r="J63" s="8" t="str">
        <x:v>Aquisição de gêneros alimentícios para alimentação escolar</x:v>
      </x:c>
      <x:c r="K63" s="8" t="str">
        <x:v>Pregão</x:v>
      </x:c>
      <x:c r="L63" s="15"/>
      <x:c r="M63" s="8"/>
      <x:c r="N63" s="8" t="str">
        <x:v>https://sites.google.com/edu.mt.gov.br/drepva/coordenadorias/coadm/certames-2025</x:v>
      </x:c>
      <x:c r="O63" s="8" t="str">
        <x:v>https://drive.google.com/file/d/1v1ohSPNAWg3LbfVB1Cm6fjMFnLOaAlkF/view?usp=drive_link</x:v>
      </x:c>
      <x:c r="P63" s="8" t="str">
        <x:v>PNAE_MT_2025/10_PRIMAVERA_DO_LESTE/DOC-0067_DOC-0067.pdf</x:v>
      </x:c>
      <x:c r="Q63" s="8" t="str">
        <x:v>BAIXADO_VALIDADO</x:v>
      </x:c>
      <x:c r="R63" s="8" t="str">
        <x:v>PREGAO_2025</x:v>
      </x:c>
      <x:c r="S63" s="8" t="str">
        <x:v>Categoria separada da agricultura familiar. Não importar no módulo de chamadas públicas.</x:v>
      </x:c>
      <x:c r="T63" s="8" t="str"/>
    </x:row>
    <x:row r="64" ht="84" customHeight="1">
      <x:c r="A64" s="8" t="str">
        <x:v>ED-0060</x:v>
      </x:c>
      <x:c r="B64" s="8" t="str">
        <x:v>Primavera do Leste</x:v>
      </x:c>
      <x:c r="C64" s="8" t="str">
        <x:v>Campo Verde</x:v>
      </x:c>
      <x:c r="D64" s="8"/>
      <x:c r="E64" s="8"/>
      <x:c r="F64" s="8" t="str">
        <x:v>013/2024</x:v>
      </x:c>
      <x:c r="G64" s="8" t="n">
        <x:v>2024</x:v>
      </x:c>
      <x:c r="H64" s="8"/>
      <x:c r="I64" s="8" t="n">
        <x:v>2025</x:v>
      </x:c>
      <x:c r="J64" s="8" t="str">
        <x:v>Aquisição de gêneros alimentícios para alimentação escolar</x:v>
      </x:c>
      <x:c r="K64" s="8" t="str">
        <x:v>Pregão</x:v>
      </x:c>
      <x:c r="L64" s="15"/>
      <x:c r="M64" s="8"/>
      <x:c r="N64" s="8" t="str">
        <x:v>https://sites.google.com/edu.mt.gov.br/drepva/coordenadorias/coadm/certames-2025</x:v>
      </x:c>
      <x:c r="O64" s="8" t="str">
        <x:v>https://drive.google.com/file/d/1c3mdaljKRtqfPkjJRLTdcDZ-poyAHTU6/view?usp=drive_link</x:v>
      </x:c>
      <x:c r="P64" s="8" t="str">
        <x:v>PNAE_MT_2025/10_PRIMAVERA_DO_LESTE/DOC-0068_DOC-0068.pdf</x:v>
      </x:c>
      <x:c r="Q64" s="8" t="str">
        <x:v>BAIXADO_VALIDADO</x:v>
      </x:c>
      <x:c r="R64" s="8" t="str">
        <x:v>PREGAO_2025</x:v>
      </x:c>
      <x:c r="S64" s="8" t="str">
        <x:v>Categoria separada da agricultura familiar. Não importar no módulo de chamadas públicas.</x:v>
      </x:c>
      <x:c r="T64" s="8" t="str"/>
    </x:row>
    <x:row r="65" ht="84" customHeight="1">
      <x:c r="A65" s="8" t="str">
        <x:v>ED-0061</x:v>
      </x:c>
      <x:c r="B65" s="8" t="str">
        <x:v>Primavera do Leste</x:v>
      </x:c>
      <x:c r="C65" s="8" t="str">
        <x:v>Gaúcha do Norte - urbana</x:v>
      </x:c>
      <x:c r="D65" s="8"/>
      <x:c r="E65" s="8"/>
      <x:c r="F65" s="8" t="str">
        <x:v>016/2024</x:v>
      </x:c>
      <x:c r="G65" s="8" t="n">
        <x:v>2024</x:v>
      </x:c>
      <x:c r="H65" s="8"/>
      <x:c r="I65" s="8" t="n">
        <x:v>2025</x:v>
      </x:c>
      <x:c r="J65" s="8" t="str">
        <x:v>Aquisição de gêneros alimentícios para alimentação escolar da agricultura familiar</x:v>
      </x:c>
      <x:c r="K65" s="8" t="str">
        <x:v>Chamada pública</x:v>
      </x:c>
      <x:c r="L65" s="15"/>
      <x:c r="M65" s="8" t="str">
        <x:v>Histórico localizado; situação administrativa não inferida</x:v>
      </x:c>
      <x:c r="N65" s="8" t="str">
        <x:v>https://sites.google.com/edu.mt.gov.br/drepva/coordenadorias/coadm/certames-2025</x:v>
      </x:c>
      <x:c r="O65" s="8" t="str">
        <x:v>https://drive.google.com/file/d/1t7mFIHJ17ZYchybLD1G5tdI7ckEUD56E/view?usp=drive_link</x:v>
      </x:c>
      <x:c r="P65" s="8" t="str">
        <x:v>PNAE_MT_2025/10_PRIMAVERA_DO_LESTE/DOC-0069_DOC-0069.pdf</x:v>
      </x:c>
      <x:c r="Q65" s="8" t="str">
        <x:v>BAIXADO_VALIDADO</x:v>
      </x:c>
      <x:c r="R65" s="8" t="str">
        <x:v>ELEGIVEL_2025</x:v>
      </x:c>
      <x:c r="S65" s="8" t="str">
        <x:v>Ano letivo de 2025 confirmado no PDF; dados extraídos sujeitos à conferência administrativa.</x:v>
      </x:c>
      <x:c r="T65" s="8" t="str">
        <x:v>Escopo territorial preservado. CNPJ da DRE não substitui CNPJ da escola/CDCE.</x:v>
      </x:c>
    </x:row>
    <x:row r="66" ht="84" customHeight="1">
      <x:c r="A66" s="8" t="str">
        <x:v>ED-0062</x:v>
      </x:c>
      <x:c r="B66" s="8" t="str">
        <x:v>Sinop</x:v>
      </x:c>
      <x:c r="C66" s="8" t="str">
        <x:v>Sinop</x:v>
      </x:c>
      <x:c r="D66" s="8"/>
      <x:c r="E66" s="8"/>
      <x:c r="F66" s="8" t="str">
        <x:v>020/2024</x:v>
      </x:c>
      <x:c r="G66" s="8" t="n">
        <x:v>2024</x:v>
      </x:c>
      <x:c r="H66" s="8"/>
      <x:c r="I66" s="8" t="n">
        <x:v>2025</x:v>
      </x:c>
      <x:c r="J66" s="8" t="str">
        <x:v>Aquisição de gêneros alimentícios para alimentação escolar da agricultura familiar</x:v>
      </x:c>
      <x:c r="K66" s="8" t="str">
        <x:v>Chamada pública</x:v>
      </x:c>
      <x:c r="L66" s="15"/>
      <x:c r="M66" s="8" t="str">
        <x:v>Histórico localizado; situação administrativa não inferida</x:v>
      </x:c>
      <x:c r="N66" s="8" t="str">
        <x:v>https://dresinop.com.br/editais/993c9e6b-8ed8-4697-81b6-2fbf4cfedf2d</x:v>
      </x:c>
      <x:c r="O66" s="8" t="str">
        <x:v>https://dresinop.com.br/arquivos/f8345a8a-c33f-4788-bfe9-fb15c23010b8</x:v>
      </x:c>
      <x:c r="P66" s="8" t="str">
        <x:v>PNAE_MT_2025/12_SINOP/DOC-0070_f8345a8a-c33f-4788-bfe9-fb15c23010b8.pdf</x:v>
      </x:c>
      <x:c r="Q66" s="8" t="str">
        <x:v>BAIXADO_VALIDADO</x:v>
      </x:c>
      <x:c r="R66" s="8" t="str">
        <x:v>ELEGIVEL_2025</x:v>
      </x:c>
      <x:c r="S66" s="8" t="str">
        <x:v>Ano letivo de 2025 confirmado no PDF; dados extraídos sujeitos à conferência administrativa.</x:v>
      </x:c>
      <x:c r="T66" s="8" t="str">
        <x:v>Escopo territorial preservado. CNPJ da DRE não substitui CNPJ da escola/CDCE.</x:v>
      </x:c>
    </x:row>
    <x:row r="67" ht="84" customHeight="1">
      <x:c r="A67" s="8" t="str">
        <x:v>ED-0063</x:v>
      </x:c>
      <x:c r="B67" s="8" t="str">
        <x:v>Sinop</x:v>
      </x:c>
      <x:c r="C67" s="8" t="str">
        <x:v>Colíder</x:v>
      </x:c>
      <x:c r="D67" s="8"/>
      <x:c r="E67" s="8"/>
      <x:c r="F67" s="8" t="str">
        <x:v>021/2024</x:v>
      </x:c>
      <x:c r="G67" s="8" t="n">
        <x:v>2024</x:v>
      </x:c>
      <x:c r="H67" s="8"/>
      <x:c r="I67" s="8" t="n">
        <x:v>2025</x:v>
      </x:c>
      <x:c r="J67" s="8" t="str">
        <x:v>Aquisição de gêneros alimentícios para alimentação escolar da agricultura familiar</x:v>
      </x:c>
      <x:c r="K67" s="8" t="str">
        <x:v>Chamada pública</x:v>
      </x:c>
      <x:c r="L67" s="15"/>
      <x:c r="M67" s="8" t="str">
        <x:v>Histórico localizado; situação administrativa não inferida</x:v>
      </x:c>
      <x:c r="N67" s="8" t="str">
        <x:v>https://dresinop.com.br/editais/993c9e6b-8ed8-4697-81b6-2fbf4cfedf2d</x:v>
      </x:c>
      <x:c r="O67" s="8" t="str">
        <x:v>https://dresinop.com.br/arquivos/d239737c-aa5b-4aa5-8c4f-98a1c89d4007</x:v>
      </x:c>
      <x:c r="P67" s="8" t="str">
        <x:v>PNAE_MT_2025/12_SINOP/DOC-0071_d239737c-aa5b-4aa5-8c4f-98a1c89d4007.pdf</x:v>
      </x:c>
      <x:c r="Q67" s="8" t="str">
        <x:v>BAIXADO_VALIDADO</x:v>
      </x:c>
      <x:c r="R67" s="8" t="str">
        <x:v>ELEGIVEL_2025</x:v>
      </x:c>
      <x:c r="S67" s="8" t="str">
        <x:v>Ano letivo de 2025 confirmado no PDF; dados extraídos sujeitos à conferência administrativa.</x:v>
      </x:c>
      <x:c r="T67" s="8" t="str">
        <x:v>Escopo territorial preservado. CNPJ da DRE não substitui CNPJ da escola/CDCE.</x:v>
      </x:c>
    </x:row>
    <x:row r="68" ht="84" customHeight="1">
      <x:c r="A68" s="8" t="str">
        <x:v>ED-0064</x:v>
      </x:c>
      <x:c r="B68" s="8" t="str">
        <x:v>Sinop</x:v>
      </x:c>
      <x:c r="C68" s="8" t="str">
        <x:v>Nova Santa Helena</x:v>
      </x:c>
      <x:c r="D68" s="8"/>
      <x:c r="E68" s="8"/>
      <x:c r="F68" s="8" t="str">
        <x:v>022/2024</x:v>
      </x:c>
      <x:c r="G68" s="8" t="n">
        <x:v>2024</x:v>
      </x:c>
      <x:c r="H68" s="8"/>
      <x:c r="I68" s="8" t="n">
        <x:v>2025</x:v>
      </x:c>
      <x:c r="J68" s="8" t="str">
        <x:v>Aquisição de gêneros alimentícios para alimentação escolar da agricultura familiar</x:v>
      </x:c>
      <x:c r="K68" s="8" t="str">
        <x:v>Chamada pública</x:v>
      </x:c>
      <x:c r="L68" s="15"/>
      <x:c r="M68" s="8" t="str">
        <x:v>Histórico localizado; situação administrativa não inferida</x:v>
      </x:c>
      <x:c r="N68" s="8" t="str">
        <x:v>https://dresinop.com.br/editais/993c9e6b-8ed8-4697-81b6-2fbf4cfedf2d</x:v>
      </x:c>
      <x:c r="O68" s="8" t="str">
        <x:v>https://dresinop.com.br/arquivos/d8539333-10b0-436d-be50-4bc6b6c5b940</x:v>
      </x:c>
      <x:c r="P68" s="8" t="str">
        <x:v>PNAE_MT_2025/12_SINOP/DOC-0072_d8539333-10b0-436d-be50-4bc6b6c5b940.pdf</x:v>
      </x:c>
      <x:c r="Q68" s="8" t="str">
        <x:v>BAIXADO_VALIDADO</x:v>
      </x:c>
      <x:c r="R68" s="8" t="str">
        <x:v>ELEGIVEL_2025</x:v>
      </x:c>
      <x:c r="S68" s="8" t="str">
        <x:v>Ano letivo de 2025 confirmado no PDF; dados extraídos sujeitos à conferência administrativa.</x:v>
      </x:c>
      <x:c r="T68" s="8" t="str">
        <x:v>Escopo territorial preservado. CNPJ da DRE não substitui CNPJ da escola/CDCE.</x:v>
      </x:c>
    </x:row>
    <x:row r="69" ht="84" customHeight="1">
      <x:c r="A69" s="8" t="str">
        <x:v>ED-0065</x:v>
      </x:c>
      <x:c r="B69" s="8" t="str">
        <x:v>Sinop</x:v>
      </x:c>
      <x:c r="C69" s="8" t="str">
        <x:v>Itaúba</x:v>
      </x:c>
      <x:c r="D69" s="8"/>
      <x:c r="E69" s="8"/>
      <x:c r="F69" s="8" t="str">
        <x:v>023/2024</x:v>
      </x:c>
      <x:c r="G69" s="8" t="n">
        <x:v>2024</x:v>
      </x:c>
      <x:c r="H69" s="8"/>
      <x:c r="I69" s="8" t="n">
        <x:v>2025</x:v>
      </x:c>
      <x:c r="J69" s="8" t="str">
        <x:v>Aquisição de gêneros alimentícios para alimentação escolar da agricultura familiar</x:v>
      </x:c>
      <x:c r="K69" s="8" t="str">
        <x:v>Chamada pública</x:v>
      </x:c>
      <x:c r="L69" s="15"/>
      <x:c r="M69" s="8" t="str">
        <x:v>Histórico localizado; situação administrativa não inferida</x:v>
      </x:c>
      <x:c r="N69" s="8" t="str">
        <x:v>https://dresinop.com.br/editais/993c9e6b-8ed8-4697-81b6-2fbf4cfedf2d</x:v>
      </x:c>
      <x:c r="O69" s="8" t="str">
        <x:v>https://dresinop.com.br/arquivos/61522d8f-5478-4cdb-b7cf-0d7a17c56a27</x:v>
      </x:c>
      <x:c r="P69" s="8" t="str">
        <x:v>PNAE_MT_2025/12_SINOP/DOC-0073_61522d8f-5478-4cdb-b7cf-0d7a17c56a27.pdf</x:v>
      </x:c>
      <x:c r="Q69" s="8" t="str">
        <x:v>BAIXADO_VALIDADO</x:v>
      </x:c>
      <x:c r="R69" s="8" t="str">
        <x:v>ELEGIVEL_2025</x:v>
      </x:c>
      <x:c r="S69" s="8" t="str">
        <x:v>Ano letivo de 2025 confirmado no PDF; dados extraídos sujeitos à conferência administrativa.</x:v>
      </x:c>
      <x:c r="T69" s="8" t="str">
        <x:v>Escopo territorial preservado. CNPJ da DRE não substitui CNPJ da escola/CDCE.</x:v>
      </x:c>
    </x:row>
    <x:row r="70" ht="84" customHeight="1">
      <x:c r="A70" s="8" t="str">
        <x:v>ED-0066</x:v>
      </x:c>
      <x:c r="B70" s="8" t="str">
        <x:v>Sinop</x:v>
      </x:c>
      <x:c r="C70" s="8" t="str">
        <x:v>Cláudia</x:v>
      </x:c>
      <x:c r="D70" s="8"/>
      <x:c r="E70" s="8"/>
      <x:c r="F70" s="8" t="str">
        <x:v>024/2024</x:v>
      </x:c>
      <x:c r="G70" s="8" t="n">
        <x:v>2024</x:v>
      </x:c>
      <x:c r="H70" s="8"/>
      <x:c r="I70" s="8" t="n">
        <x:v>2025</x:v>
      </x:c>
      <x:c r="J70" s="8" t="str">
        <x:v>Aquisição de gêneros alimentícios para alimentação escolar da agricultura familiar</x:v>
      </x:c>
      <x:c r="K70" s="8" t="str">
        <x:v>Chamada pública</x:v>
      </x:c>
      <x:c r="L70" s="15"/>
      <x:c r="M70" s="8" t="str">
        <x:v>Histórico localizado; situação administrativa não inferida</x:v>
      </x:c>
      <x:c r="N70" s="8" t="str">
        <x:v>https://dresinop.com.br/editais/993c9e6b-8ed8-4697-81b6-2fbf4cfedf2d</x:v>
      </x:c>
      <x:c r="O70" s="8" t="str">
        <x:v>https://dresinop.com.br/arquivos/1291cecc-6aa7-43bb-a549-a33b65843df9</x:v>
      </x:c>
      <x:c r="P70" s="8" t="str">
        <x:v>PNAE_MT_2025/12_SINOP/DOC-0074_1291cecc-6aa7-43bb-a549-a33b65843df9.pdf</x:v>
      </x:c>
      <x:c r="Q70" s="8" t="str">
        <x:v>BAIXADO_VALIDADO</x:v>
      </x:c>
      <x:c r="R70" s="8" t="str">
        <x:v>ELEGIVEL_2025</x:v>
      </x:c>
      <x:c r="S70" s="8" t="str">
        <x:v>Ano letivo de 2025 confirmado no PDF; dados extraídos sujeitos à conferência administrativa.</x:v>
      </x:c>
      <x:c r="T70" s="8" t="str">
        <x:v>Escopo territorial preservado. CNPJ da DRE não substitui CNPJ da escola/CDCE.</x:v>
      </x:c>
    </x:row>
    <x:row r="71" ht="84" customHeight="1">
      <x:c r="A71" s="8" t="str">
        <x:v>ED-0067</x:v>
      </x:c>
      <x:c r="B71" s="8" t="str">
        <x:v>Sinop</x:v>
      </x:c>
      <x:c r="C71" s="8" t="str">
        <x:v>Santa Carmem</x:v>
      </x:c>
      <x:c r="D71" s="8"/>
      <x:c r="E71" s="8"/>
      <x:c r="F71" s="8" t="str">
        <x:v>025/2024</x:v>
      </x:c>
      <x:c r="G71" s="8" t="n">
        <x:v>2024</x:v>
      </x:c>
      <x:c r="H71" s="8"/>
      <x:c r="I71" s="8" t="n">
        <x:v>2025</x:v>
      </x:c>
      <x:c r="J71" s="8" t="str">
        <x:v>Aquisição de gêneros alimentícios para alimentação escolar da agricultura familiar</x:v>
      </x:c>
      <x:c r="K71" s="8" t="str">
        <x:v>Chamada pública</x:v>
      </x:c>
      <x:c r="L71" s="15"/>
      <x:c r="M71" s="8" t="str">
        <x:v>Histórico localizado; situação administrativa não inferida</x:v>
      </x:c>
      <x:c r="N71" s="8" t="str">
        <x:v>https://dresinop.com.br/editais/993c9e6b-8ed8-4697-81b6-2fbf4cfedf2d</x:v>
      </x:c>
      <x:c r="O71" s="8" t="str">
        <x:v>https://dresinop.com.br/arquivos/bd759726-7290-4133-976b-096fd05bfc1b</x:v>
      </x:c>
      <x:c r="P71" s="8" t="str">
        <x:v>PNAE_MT_2025/12_SINOP/DOC-0075_bd759726-7290-4133-976b-096fd05bfc1b.pdf</x:v>
      </x:c>
      <x:c r="Q71" s="8" t="str">
        <x:v>BAIXADO_VALIDADO</x:v>
      </x:c>
      <x:c r="R71" s="8" t="str">
        <x:v>ELEGIVEL_2025</x:v>
      </x:c>
      <x:c r="S71" s="8" t="str">
        <x:v>Ano letivo de 2025 confirmado no PDF; dados extraídos sujeitos à conferência administrativa. Capa/aviso contém “025/224”; portal e corpo identificam 025/2024. Preservar ambos e registrar erro material.</x:v>
      </x:c>
      <x:c r="T71" s="8" t="str">
        <x:v>Escopo territorial preservado. CNPJ da DRE não substitui CNPJ da escola/CDCE.</x:v>
      </x:c>
    </x:row>
    <x:row r="72" ht="84" customHeight="1">
      <x:c r="A72" s="8" t="str">
        <x:v>ED-0068</x:v>
      </x:c>
      <x:c r="B72" s="8" t="str">
        <x:v>Sinop</x:v>
      </x:c>
      <x:c r="C72" s="8" t="str">
        <x:v>Ipiranga do Norte</x:v>
      </x:c>
      <x:c r="D72" s="8"/>
      <x:c r="E72" s="8"/>
      <x:c r="F72" s="8" t="str">
        <x:v>026/2024</x:v>
      </x:c>
      <x:c r="G72" s="8" t="n">
        <x:v>2024</x:v>
      </x:c>
      <x:c r="H72" s="8"/>
      <x:c r="I72" s="8" t="n">
        <x:v>2025</x:v>
      </x:c>
      <x:c r="J72" s="8" t="str">
        <x:v>Aquisição de gêneros alimentícios para alimentação escolar da agricultura familiar</x:v>
      </x:c>
      <x:c r="K72" s="8" t="str">
        <x:v>Chamada pública</x:v>
      </x:c>
      <x:c r="L72" s="15"/>
      <x:c r="M72" s="8" t="str">
        <x:v>Histórico localizado; situação administrativa não inferida</x:v>
      </x:c>
      <x:c r="N72" s="8" t="str">
        <x:v>https://dresinop.com.br/editais/993c9e6b-8ed8-4697-81b6-2fbf4cfedf2d</x:v>
      </x:c>
      <x:c r="O72" s="8" t="str">
        <x:v>https://dresinop.com.br/arquivos/807e87cd-6ca6-45b4-be56-587562a0b377</x:v>
      </x:c>
      <x:c r="P72" s="8" t="str">
        <x:v>PNAE_MT_2025/12_SINOP/DOC-0076_807e87cd-6ca6-45b4-be56-587562a0b377.pdf</x:v>
      </x:c>
      <x:c r="Q72" s="8" t="str">
        <x:v>BAIXADO_VALIDADO</x:v>
      </x:c>
      <x:c r="R72" s="8" t="str">
        <x:v>ELEGIVEL_2025</x:v>
      </x:c>
      <x:c r="S72" s="8" t="str">
        <x:v>Ano letivo de 2025 confirmado no PDF; dados extraídos sujeitos à conferência administrativa.</x:v>
      </x:c>
      <x:c r="T72" s="8" t="str">
        <x:v>Escopo territorial preservado. CNPJ da DRE não substitui CNPJ da escola/CDCE.</x:v>
      </x:c>
    </x:row>
    <x:row r="73" ht="84" customHeight="1">
      <x:c r="A73" s="8" t="str">
        <x:v>ED-0069</x:v>
      </x:c>
      <x:c r="B73" s="8" t="str">
        <x:v>Sinop</x:v>
      </x:c>
      <x:c r="C73" s="8" t="str">
        <x:v>Tabaporã - distrito</x:v>
      </x:c>
      <x:c r="D73" s="8"/>
      <x:c r="E73" s="8"/>
      <x:c r="F73" s="8" t="str">
        <x:v>027/2024</x:v>
      </x:c>
      <x:c r="G73" s="8" t="n">
        <x:v>2024</x:v>
      </x:c>
      <x:c r="H73" s="8"/>
      <x:c r="I73" s="8" t="n">
        <x:v>2025</x:v>
      </x:c>
      <x:c r="J73" s="8" t="str">
        <x:v>Aquisição de gêneros alimentícios para alimentação escolar da agricultura familiar</x:v>
      </x:c>
      <x:c r="K73" s="8" t="str">
        <x:v>Chamada pública</x:v>
      </x:c>
      <x:c r="L73" s="15"/>
      <x:c r="M73" s="8" t="str">
        <x:v>Histórico localizado; situação administrativa não inferida</x:v>
      </x:c>
      <x:c r="N73" s="8" t="str">
        <x:v>https://dresinop.com.br/editais/993c9e6b-8ed8-4697-81b6-2fbf4cfedf2d</x:v>
      </x:c>
      <x:c r="O73" s="8" t="str">
        <x:v>https://dresinop.com.br/arquivos/762c78d9-033d-49a2-81cc-9952333825e8</x:v>
      </x:c>
      <x:c r="P73" s="8" t="str">
        <x:v>PNAE_MT_2025/12_SINOP/DOC-0077_762c78d9-033d-49a2-81cc-9952333825e8.pdf</x:v>
      </x:c>
      <x:c r="Q73" s="8" t="str">
        <x:v>BAIXADO_VALIDADO</x:v>
      </x:c>
      <x:c r="R73" s="8" t="str">
        <x:v>ELEGIVEL_2025</x:v>
      </x:c>
      <x:c r="S73" s="8" t="str">
        <x:v>Ano letivo de 2025 confirmado no PDF; dados extraídos sujeitos à conferência administrativa.</x:v>
      </x:c>
      <x:c r="T73" s="8" t="str">
        <x:v>Escopo territorial preservado. CNPJ da DRE não substitui CNPJ da escola/CDCE.</x:v>
      </x:c>
    </x:row>
    <x:row r="74" ht="84" customHeight="1">
      <x:c r="A74" s="8" t="str">
        <x:v>ED-0070</x:v>
      </x:c>
      <x:c r="B74" s="8" t="str">
        <x:v>Sinop</x:v>
      </x:c>
      <x:c r="C74" s="8" t="str">
        <x:v>União do Sul</x:v>
      </x:c>
      <x:c r="D74" s="8"/>
      <x:c r="E74" s="8"/>
      <x:c r="F74" s="8" t="str">
        <x:v>028/2024</x:v>
      </x:c>
      <x:c r="G74" s="8" t="n">
        <x:v>2024</x:v>
      </x:c>
      <x:c r="H74" s="8"/>
      <x:c r="I74" s="8" t="n">
        <x:v>2025</x:v>
      </x:c>
      <x:c r="J74" s="8" t="str">
        <x:v>Aquisição de gêneros alimentícios para alimentação escolar da agricultura familiar</x:v>
      </x:c>
      <x:c r="K74" s="8" t="str">
        <x:v>Chamada pública</x:v>
      </x:c>
      <x:c r="L74" s="15"/>
      <x:c r="M74" s="8" t="str">
        <x:v>Histórico localizado; situação administrativa não inferida</x:v>
      </x:c>
      <x:c r="N74" s="8" t="str">
        <x:v>https://dresinop.com.br/editais/993c9e6b-8ed8-4697-81b6-2fbf4cfedf2d</x:v>
      </x:c>
      <x:c r="O74" s="8" t="str">
        <x:v>https://dresinop.com.br/arquivos/7272d1c5-14fa-4d35-9416-fa978aae122e</x:v>
      </x:c>
      <x:c r="P74" s="8" t="str">
        <x:v>PNAE_MT_2025/12_SINOP/DOC-0078_7272d1c5-14fa-4d35-9416-fa978aae122e.pdf</x:v>
      </x:c>
      <x:c r="Q74" s="8" t="str">
        <x:v>BAIXADO_VALIDADO</x:v>
      </x:c>
      <x:c r="R74" s="8" t="str">
        <x:v>ELEGIVEL_2025</x:v>
      </x:c>
      <x:c r="S74" s="8" t="str">
        <x:v>Ano letivo de 2025 confirmado no PDF; dados extraídos sujeitos à conferência administrativa.</x:v>
      </x:c>
      <x:c r="T74" s="8" t="str">
        <x:v>Escopo territorial preservado. CNPJ da DRE não substitui CNPJ da escola/CDCE.</x:v>
      </x:c>
    </x:row>
    <x:row r="75" ht="84" customHeight="1">
      <x:c r="A75" s="8" t="str">
        <x:v>ED-0071</x:v>
      </x:c>
      <x:c r="B75" s="8" t="str">
        <x:v>Sinop</x:v>
      </x:c>
      <x:c r="C75" s="8" t="str">
        <x:v>Itanhangá</x:v>
      </x:c>
      <x:c r="D75" s="8"/>
      <x:c r="E75" s="8"/>
      <x:c r="F75" s="8" t="str">
        <x:v>029/2024</x:v>
      </x:c>
      <x:c r="G75" s="8" t="n">
        <x:v>2024</x:v>
      </x:c>
      <x:c r="H75" s="8"/>
      <x:c r="I75" s="8" t="n">
        <x:v>2025</x:v>
      </x:c>
      <x:c r="J75" s="8" t="str">
        <x:v>Aquisição de gêneros alimentícios para alimentação escolar da agricultura familiar</x:v>
      </x:c>
      <x:c r="K75" s="8" t="str">
        <x:v>Chamada pública</x:v>
      </x:c>
      <x:c r="L75" s="15"/>
      <x:c r="M75" s="8" t="str">
        <x:v>Histórico localizado; situação administrativa não inferida</x:v>
      </x:c>
      <x:c r="N75" s="8" t="str">
        <x:v>https://dresinop.com.br/editais/993c9e6b-8ed8-4697-81b6-2fbf4cfedf2d</x:v>
      </x:c>
      <x:c r="O75" s="8" t="str">
        <x:v>https://dresinop.com.br/arquivos/dc2650b4-75f5-4259-83e4-67d7ac91d586</x:v>
      </x:c>
      <x:c r="P75" s="8" t="str">
        <x:v>PNAE_MT_2025/12_SINOP/DOC-0079_dc2650b4-75f5-4259-83e4-67d7ac91d586.pdf</x:v>
      </x:c>
      <x:c r="Q75" s="8" t="str">
        <x:v>BAIXADO_VALIDADO</x:v>
      </x:c>
      <x:c r="R75" s="8" t="str">
        <x:v>ELEGIVEL_2025</x:v>
      </x:c>
      <x:c r="S75" s="8" t="str">
        <x:v>Ano letivo de 2025 confirmado no PDF; dados extraídos sujeitos à conferência administrativa.</x:v>
      </x:c>
      <x:c r="T75" s="8" t="str">
        <x:v>Escopo territorial preservado. CNPJ da DRE não substitui CNPJ da escola/CDCE.</x:v>
      </x:c>
    </x:row>
    <x:row r="76" ht="84" customHeight="1">
      <x:c r="A76" s="8" t="str">
        <x:v>ED-0072</x:v>
      </x:c>
      <x:c r="B76" s="8" t="str">
        <x:v>Sinop</x:v>
      </x:c>
      <x:c r="C76" s="8" t="str">
        <x:v>Tapurah</x:v>
      </x:c>
      <x:c r="D76" s="8"/>
      <x:c r="E76" s="8"/>
      <x:c r="F76" s="8" t="str">
        <x:v>030/2024</x:v>
      </x:c>
      <x:c r="G76" s="8" t="n">
        <x:v>2024</x:v>
      </x:c>
      <x:c r="H76" s="8"/>
      <x:c r="I76" s="8" t="n">
        <x:v>2025</x:v>
      </x:c>
      <x:c r="J76" s="8" t="str">
        <x:v>Aquisição de gêneros alimentícios para alimentação escolar da agricultura familiar</x:v>
      </x:c>
      <x:c r="K76" s="8" t="str">
        <x:v>Chamada pública</x:v>
      </x:c>
      <x:c r="L76" s="15"/>
      <x:c r="M76" s="8" t="str">
        <x:v>Histórico localizado; situação administrativa não inferida</x:v>
      </x:c>
      <x:c r="N76" s="8" t="str">
        <x:v>https://dresinop.com.br/editais/993c9e6b-8ed8-4697-81b6-2fbf4cfedf2d</x:v>
      </x:c>
      <x:c r="O76" s="8" t="str">
        <x:v>https://dresinop.com.br/arquivos/912f5800-b74c-4a39-8a20-e86bacc363b1</x:v>
      </x:c>
      <x:c r="P76" s="8" t="str">
        <x:v>PNAE_MT_2025/12_SINOP/DOC-0080_912f5800-b74c-4a39-8a20-e86bacc363b1.pdf</x:v>
      </x:c>
      <x:c r="Q76" s="8" t="str">
        <x:v>BAIXADO_VALIDADO</x:v>
      </x:c>
      <x:c r="R76" s="8" t="str">
        <x:v>ELEGIVEL_2025</x:v>
      </x:c>
      <x:c r="S76" s="8" t="str">
        <x:v>Ano letivo de 2025 confirmado no PDF; dados extraídos sujeitos à conferência administrativa.</x:v>
      </x:c>
      <x:c r="T76" s="8" t="str">
        <x:v>Escopo territorial preservado. CNPJ da DRE não substitui CNPJ da escola/CDCE.</x:v>
      </x:c>
    </x:row>
    <x:row r="77" ht="84" customHeight="1">
      <x:c r="A77" s="8" t="str">
        <x:v>ED-0073</x:v>
      </x:c>
      <x:c r="B77" s="8" t="str">
        <x:v>Sinop</x:v>
      </x:c>
      <x:c r="C77" s="8" t="str">
        <x:v>Lucas do Rio Verde</x:v>
      </x:c>
      <x:c r="D77" s="8"/>
      <x:c r="E77" s="8"/>
      <x:c r="F77" s="8" t="str">
        <x:v>031/2024</x:v>
      </x:c>
      <x:c r="G77" s="8" t="n">
        <x:v>2024</x:v>
      </x:c>
      <x:c r="H77" s="8"/>
      <x:c r="I77" s="8" t="n">
        <x:v>2025</x:v>
      </x:c>
      <x:c r="J77" s="8" t="str">
        <x:v>Aquisição de gêneros alimentícios para alimentação escolar da agricultura familiar</x:v>
      </x:c>
      <x:c r="K77" s="8" t="str">
        <x:v>Chamada pública</x:v>
      </x:c>
      <x:c r="L77" s="15"/>
      <x:c r="M77" s="8" t="str">
        <x:v>Histórico localizado; situação administrativa não inferida</x:v>
      </x:c>
      <x:c r="N77" s="8" t="str">
        <x:v>https://dresinop.com.br/editais/993c9e6b-8ed8-4697-81b6-2fbf4cfedf2d</x:v>
      </x:c>
      <x:c r="O77" s="8" t="str">
        <x:v>https://dresinop.com.br/arquivos/bd8b8e50-3336-4f3c-b477-295a07c42a73</x:v>
      </x:c>
      <x:c r="P77" s="8" t="str">
        <x:v>PNAE_MT_2025/12_SINOP/DOC-0081_bd8b8e50-3336-4f3c-b477-295a07c42a73.pdf</x:v>
      </x:c>
      <x:c r="Q77" s="8" t="str">
        <x:v>BAIXADO_VALIDADO</x:v>
      </x:c>
      <x:c r="R77" s="8" t="str">
        <x:v>ELEGIVEL_2025</x:v>
      </x:c>
      <x:c r="S77" s="8" t="str">
        <x:v>Ano letivo de 2025 confirmado no PDF; dados extraídos sujeitos à conferência administrativa.</x:v>
      </x:c>
      <x:c r="T77" s="8" t="str">
        <x:v>Escopo territorial preservado. CNPJ da DRE não substitui CNPJ da escola/CDCE.</x:v>
      </x:c>
    </x:row>
    <x:row r="78" ht="84" customHeight="1">
      <x:c r="A78" s="8" t="str">
        <x:v>ED-0074</x:v>
      </x:c>
      <x:c r="B78" s="8" t="str">
        <x:v>Sinop</x:v>
      </x:c>
      <x:c r="C78" s="8" t="str">
        <x:v>Sorriso</x:v>
      </x:c>
      <x:c r="D78" s="8"/>
      <x:c r="E78" s="8"/>
      <x:c r="F78" s="8" t="str">
        <x:v>032/2024</x:v>
      </x:c>
      <x:c r="G78" s="8" t="n">
        <x:v>2024</x:v>
      </x:c>
      <x:c r="H78" s="8"/>
      <x:c r="I78" s="8" t="n">
        <x:v>2025</x:v>
      </x:c>
      <x:c r="J78" s="8" t="str">
        <x:v>Aquisição de gêneros alimentícios para alimentação escolar da agricultura familiar</x:v>
      </x:c>
      <x:c r="K78" s="8" t="str">
        <x:v>Chamada pública</x:v>
      </x:c>
      <x:c r="L78" s="15"/>
      <x:c r="M78" s="8" t="str">
        <x:v>Histórico localizado; situação administrativa não inferida</x:v>
      </x:c>
      <x:c r="N78" s="8" t="str">
        <x:v>https://dresinop.com.br/editais/993c9e6b-8ed8-4697-81b6-2fbf4cfedf2d</x:v>
      </x:c>
      <x:c r="O78" s="8" t="str">
        <x:v>https://dresinop.com.br/arquivos/b3b243ae-9c6f-465d-b616-bbe843f76a0a</x:v>
      </x:c>
      <x:c r="P78" s="8" t="str">
        <x:v>PNAE_MT_2025/12_SINOP/DOC-0082_b3b243ae-9c6f-465d-b616-bbe843f76a0a.pdf</x:v>
      </x:c>
      <x:c r="Q78" s="8" t="str">
        <x:v>BAIXADO_VALIDADO</x:v>
      </x:c>
      <x:c r="R78" s="8" t="str">
        <x:v>ELEGIVEL_2025</x:v>
      </x:c>
      <x:c r="S78" s="8" t="str">
        <x:v>Ano letivo de 2025 confirmado no PDF; dados extraídos sujeitos à conferência administrativa.</x:v>
      </x:c>
      <x:c r="T78" s="8" t="str">
        <x:v>Escopo territorial preservado. CNPJ da DRE não substitui CNPJ da escola/CDCE.</x:v>
      </x:c>
    </x:row>
    <x:row r="79" ht="84" customHeight="1">
      <x:c r="A79" s="8" t="str">
        <x:v>ED-0075</x:v>
      </x:c>
      <x:c r="B79" s="8" t="str">
        <x:v>Sinop</x:v>
      </x:c>
      <x:c r="C79" s="8" t="str">
        <x:v>Nova Ubiratã - sede</x:v>
      </x:c>
      <x:c r="D79" s="8"/>
      <x:c r="E79" s="8"/>
      <x:c r="F79" s="8" t="str">
        <x:v>033/2024</x:v>
      </x:c>
      <x:c r="G79" s="8" t="n">
        <x:v>2024</x:v>
      </x:c>
      <x:c r="H79" s="8"/>
      <x:c r="I79" s="8" t="n">
        <x:v>2025</x:v>
      </x:c>
      <x:c r="J79" s="8" t="str">
        <x:v>Aquisição de gêneros alimentícios para alimentação escolar da agricultura familiar</x:v>
      </x:c>
      <x:c r="K79" s="8" t="str">
        <x:v>Chamada pública</x:v>
      </x:c>
      <x:c r="L79" s="15"/>
      <x:c r="M79" s="8" t="str">
        <x:v>Histórico localizado; situação administrativa não inferida</x:v>
      </x:c>
      <x:c r="N79" s="8" t="str">
        <x:v>https://dresinop.com.br/editais/993c9e6b-8ed8-4697-81b6-2fbf4cfedf2d</x:v>
      </x:c>
      <x:c r="O79" s="8" t="str">
        <x:v>https://dresinop.com.br/arquivos/60ecd063-24c4-4325-8689-129e23d2e25b</x:v>
      </x:c>
      <x:c r="P79" s="8" t="str">
        <x:v>PNAE_MT_2025/12_SINOP/DOC-0083_60ecd063-24c4-4325-8689-129e23d2e25b.pdf</x:v>
      </x:c>
      <x:c r="Q79" s="8" t="str">
        <x:v>BAIXADO_VALIDADO</x:v>
      </x:c>
      <x:c r="R79" s="8" t="str">
        <x:v>ELEGIVEL_2025</x:v>
      </x:c>
      <x:c r="S79" s="8" t="str">
        <x:v>Ano letivo de 2025 confirmado no PDF; dados extraídos sujeitos à conferência administrativa.</x:v>
      </x:c>
      <x:c r="T79" s="8" t="str">
        <x:v>Escopo territorial preservado. CNPJ da DRE não substitui CNPJ da escola/CDCE.</x:v>
      </x:c>
    </x:row>
    <x:row r="80" ht="84" customHeight="1">
      <x:c r="A80" s="8" t="str">
        <x:v>ED-0076</x:v>
      </x:c>
      <x:c r="B80" s="8" t="str">
        <x:v>Sinop</x:v>
      </x:c>
      <x:c r="C80" s="8" t="str">
        <x:v>Boa Esperança do Norte</x:v>
      </x:c>
      <x:c r="D80" s="8"/>
      <x:c r="E80" s="8"/>
      <x:c r="F80" s="8" t="str">
        <x:v>034/2024</x:v>
      </x:c>
      <x:c r="G80" s="8" t="n">
        <x:v>2024</x:v>
      </x:c>
      <x:c r="H80" s="8"/>
      <x:c r="I80" s="8" t="n">
        <x:v>2025</x:v>
      </x:c>
      <x:c r="J80" s="8" t="str">
        <x:v>Aquisição de gêneros alimentícios para alimentação escolar da agricultura familiar</x:v>
      </x:c>
      <x:c r="K80" s="8" t="str">
        <x:v>Chamada pública</x:v>
      </x:c>
      <x:c r="L80" s="15"/>
      <x:c r="M80" s="8" t="str">
        <x:v>Histórico localizado; situação administrativa não inferida</x:v>
      </x:c>
      <x:c r="N80" s="8" t="str">
        <x:v>https://dresinop.com.br/editais/993c9e6b-8ed8-4697-81b6-2fbf4cfedf2d</x:v>
      </x:c>
      <x:c r="O80" s="8" t="str">
        <x:v>https://dresinop.com.br/arquivos/a27aaf3d-adc9-4b34-ba88-5755ae46e194</x:v>
      </x:c>
      <x:c r="P80" s="8" t="str">
        <x:v>PNAE_MT_2025/12_SINOP/DOC-0084_a27aaf3d-adc9-4b34-ba88-5755ae46e194.pdf</x:v>
      </x:c>
      <x:c r="Q80" s="8" t="str">
        <x:v>BAIXADO_VALIDADO</x:v>
      </x:c>
      <x:c r="R80" s="8" t="str">
        <x:v>ELEGIVEL_2025</x:v>
      </x:c>
      <x:c r="S80" s="8" t="str">
        <x:v>Ano letivo de 2025 confirmado no PDF; dados extraídos sujeitos à conferência administrativa.</x:v>
      </x:c>
      <x:c r="T80" s="8" t="str">
        <x:v>Escopo territorial preservado. CNPJ da DRE não substitui CNPJ da escola/CDCE.</x:v>
      </x:c>
    </x:row>
    <x:row r="81" ht="84" customHeight="1">
      <x:c r="A81" s="8" t="str">
        <x:v>ED-0077</x:v>
      </x:c>
      <x:c r="B81" s="8" t="str">
        <x:v>Sinop</x:v>
      </x:c>
      <x:c r="C81" s="8" t="str">
        <x:v>Tabaporã - sede</x:v>
      </x:c>
      <x:c r="D81" s="8"/>
      <x:c r="E81" s="8"/>
      <x:c r="F81" s="8" t="str">
        <x:v>035/2024</x:v>
      </x:c>
      <x:c r="G81" s="8" t="n">
        <x:v>2024</x:v>
      </x:c>
      <x:c r="H81" s="8"/>
      <x:c r="I81" s="8" t="n">
        <x:v>2025</x:v>
      </x:c>
      <x:c r="J81" s="8" t="str">
        <x:v>Aquisição de gêneros alimentícios para alimentação escolar da agricultura familiar</x:v>
      </x:c>
      <x:c r="K81" s="8" t="str">
        <x:v>Chamada pública</x:v>
      </x:c>
      <x:c r="L81" s="15"/>
      <x:c r="M81" s="8" t="str">
        <x:v>Histórico localizado; situação administrativa não inferida</x:v>
      </x:c>
      <x:c r="N81" s="8" t="str">
        <x:v>https://dresinop.com.br/editais/993c9e6b-8ed8-4697-81b6-2fbf4cfedf2d</x:v>
      </x:c>
      <x:c r="O81" s="8" t="str">
        <x:v>https://dresinop.com.br/arquivos/754dca13-1a2d-4733-83a5-4bde5f1235ff</x:v>
      </x:c>
      <x:c r="P81" s="8" t="str">
        <x:v>PNAE_MT_2025/12_SINOP/DOC-0085_754dca13-1a2d-4733-83a5-4bde5f1235ff.pdf</x:v>
      </x:c>
      <x:c r="Q81" s="8" t="str">
        <x:v>BAIXADO_VALIDADO</x:v>
      </x:c>
      <x:c r="R81" s="8" t="str">
        <x:v>ELEGIVEL_2025</x:v>
      </x:c>
      <x:c r="S81" s="8" t="str">
        <x:v>Ano letivo de 2025 confirmado no PDF; dados extraídos sujeitos à conferência administrativa.</x:v>
      </x:c>
      <x:c r="T81" s="8" t="str">
        <x:v>Escopo territorial preservado. CNPJ da DRE não substitui CNPJ da escola/CDCE.</x:v>
      </x:c>
    </x:row>
    <x:row r="82" ht="84" customHeight="1">
      <x:c r="A82" s="8" t="str">
        <x:v>ED-0078</x:v>
      </x:c>
      <x:c r="B82" s="8" t="str">
        <x:v>Sinop</x:v>
      </x:c>
      <x:c r="C82" s="8" t="str">
        <x:v>Vera</x:v>
      </x:c>
      <x:c r="D82" s="8"/>
      <x:c r="E82" s="8"/>
      <x:c r="F82" s="8" t="str">
        <x:v>036/2024</x:v>
      </x:c>
      <x:c r="G82" s="8" t="n">
        <x:v>2024</x:v>
      </x:c>
      <x:c r="H82" s="8"/>
      <x:c r="I82" s="8" t="n">
        <x:v>2025</x:v>
      </x:c>
      <x:c r="J82" s="8" t="str">
        <x:v>Aquisição de gêneros alimentícios para alimentação escolar da agricultura familiar</x:v>
      </x:c>
      <x:c r="K82" s="8" t="str">
        <x:v>Chamada pública</x:v>
      </x:c>
      <x:c r="L82" s="15"/>
      <x:c r="M82" s="8" t="str">
        <x:v>Histórico localizado; situação administrativa não inferida</x:v>
      </x:c>
      <x:c r="N82" s="8" t="str">
        <x:v>https://dresinop.com.br/editais/993c9e6b-8ed8-4697-81b6-2fbf4cfedf2d</x:v>
      </x:c>
      <x:c r="O82" s="8" t="str">
        <x:v>https://dresinop.com.br/arquivos/8fdbdccf-4aac-4d5d-ab2a-951abaf48b1a</x:v>
      </x:c>
      <x:c r="P82" s="8" t="str">
        <x:v>PNAE_MT_2025/12_SINOP/DOC-0086_8fdbdccf-4aac-4d5d-ab2a-951abaf48b1a.pdf</x:v>
      </x:c>
      <x:c r="Q82" s="8" t="str">
        <x:v>BAIXADO_VALIDADO</x:v>
      </x:c>
      <x:c r="R82" s="8" t="str">
        <x:v>ELEGIVEL_2025</x:v>
      </x:c>
      <x:c r="S82" s="8" t="str">
        <x:v>Ano letivo de 2025 confirmado no PDF; dados extraídos sujeitos à conferência administrativa.</x:v>
      </x:c>
      <x:c r="T82" s="8" t="str">
        <x:v>Escopo territorial preservado. CNPJ da DRE não substitui CNPJ da escola/CDCE.</x:v>
      </x:c>
    </x:row>
    <x:row r="83" ht="84" customHeight="1">
      <x:c r="A83" s="8" t="str">
        <x:v>ED-0079</x:v>
      </x:c>
      <x:c r="B83" s="8" t="str">
        <x:v>Sinop</x:v>
      </x:c>
      <x:c r="C83" s="8" t="str">
        <x:v>Feliz Natal</x:v>
      </x:c>
      <x:c r="D83" s="8"/>
      <x:c r="E83" s="8"/>
      <x:c r="F83" s="8" t="str">
        <x:v>037/2024</x:v>
      </x:c>
      <x:c r="G83" s="8" t="n">
        <x:v>2024</x:v>
      </x:c>
      <x:c r="H83" s="8"/>
      <x:c r="I83" s="8" t="n">
        <x:v>2025</x:v>
      </x:c>
      <x:c r="J83" s="8" t="str">
        <x:v>Aquisição de gêneros alimentícios para alimentação escolar da agricultura familiar</x:v>
      </x:c>
      <x:c r="K83" s="8" t="str">
        <x:v>Chamada pública</x:v>
      </x:c>
      <x:c r="L83" s="15"/>
      <x:c r="M83" s="8" t="str">
        <x:v>Histórico localizado; situação administrativa não inferida</x:v>
      </x:c>
      <x:c r="N83" s="8" t="str">
        <x:v>https://dresinop.com.br/editais/993c9e6b-8ed8-4697-81b6-2fbf4cfedf2d</x:v>
      </x:c>
      <x:c r="O83" s="8" t="str">
        <x:v>https://dresinop.com.br/arquivos/ef4983ae-d7b6-4e0d-85e2-21406a4505c3</x:v>
      </x:c>
      <x:c r="P83" s="8" t="str">
        <x:v>PNAE_MT_2025/12_SINOP/DOC-0087_ef4983ae-d7b6-4e0d-85e2-21406a4505c3.pdf</x:v>
      </x:c>
      <x:c r="Q83" s="8" t="str">
        <x:v>BAIXADO_VALIDADO</x:v>
      </x:c>
      <x:c r="R83" s="8" t="str">
        <x:v>ELEGIVEL_2025</x:v>
      </x:c>
      <x:c r="S83" s="8" t="str">
        <x:v>Ano letivo de 2025 confirmado no PDF; dados extraídos sujeitos à conferência administrativa.</x:v>
      </x:c>
      <x:c r="T83" s="8" t="str">
        <x:v>Escopo territorial preservado. CNPJ da DRE não substitui CNPJ da escola/CDCE.</x:v>
      </x:c>
    </x:row>
    <x:row r="84" ht="84" customHeight="1">
      <x:c r="A84" s="8" t="str">
        <x:v>ED-0080</x:v>
      </x:c>
      <x:c r="B84" s="8" t="str">
        <x:v>Tangará da Serra</x:v>
      </x:c>
      <x:c r="C84" s="8" t="str">
        <x:v>Sapezal</x:v>
      </x:c>
      <x:c r="D84" s="8"/>
      <x:c r="E84" s="8"/>
      <x:c r="F84" s="8" t="str">
        <x:v>014/2024</x:v>
      </x:c>
      <x:c r="G84" s="8" t="n">
        <x:v>2024</x:v>
      </x:c>
      <x:c r="H84" s="8"/>
      <x:c r="I84" s="8"/>
      <x:c r="J84" s="8" t="str">
        <x:v>Aquisição de gêneros alimentícios para alimentação escolar da agricultura familiar</x:v>
      </x:c>
      <x:c r="K84" s="8" t="str">
        <x:v>Chamada pública</x:v>
      </x:c>
      <x:c r="L84" s="15"/>
      <x:c r="M84" s="8"/>
      <x:c r="N84" s="8" t="str">
        <x:v>https://sites.google.com/edu.mt.gov.br/dre-tangaradaserra/institucional/coordenadorias/coadm/chamada-pública-em-andamento</x:v>
      </x:c>
      <x:c r="O84" s="8" t="str">
        <x:v>https://drive.google.com/file/d/1G0ElLv1VSiTCNWNCDSnDbahxi7EA5DIk/view?usp=drive_link</x:v>
      </x:c>
      <x:c r="P84" s="8"/>
      <x:c r="Q84" s="8" t="str">
        <x:v>FALHA_DOWNLOAD</x:v>
      </x:c>
      <x:c r="R84" s="8" t="str">
        <x:v>PENDENTE_ARQUIVO</x:v>
      </x:c>
      <x:c r="S84" s="8" t="str">
        <x:v>Publicação histórica com sessão em janeiro de 2025; PDF retorna HTTP 404. Exercício ainda não conferido no arquivo.</x:v>
      </x:c>
      <x:c r="T84" s="8" t="str"/>
    </x:row>
    <x:row r="85" ht="84" customHeight="1">
      <x:c r="A85" s="8" t="str">
        <x:v>ED-0081</x:v>
      </x:c>
      <x:c r="B85" s="8" t="str">
        <x:v>Tangará da Serra</x:v>
      </x:c>
      <x:c r="C85" s="8" t="str">
        <x:v>Tangará da Serra</x:v>
      </x:c>
      <x:c r="D85" s="8"/>
      <x:c r="E85" s="8"/>
      <x:c r="F85" s="8" t="str">
        <x:v>013/2024</x:v>
      </x:c>
      <x:c r="G85" s="8" t="n">
        <x:v>2024</x:v>
      </x:c>
      <x:c r="H85" s="8"/>
      <x:c r="I85" s="8"/>
      <x:c r="J85" s="8" t="str">
        <x:v>Aquisição de gêneros alimentícios para alimentação escolar da agricultura familiar</x:v>
      </x:c>
      <x:c r="K85" s="8" t="str">
        <x:v>Chamada pública</x:v>
      </x:c>
      <x:c r="L85" s="15"/>
      <x:c r="M85" s="8"/>
      <x:c r="N85" s="8" t="str">
        <x:v>https://sites.google.com/edu.mt.gov.br/dre-tangaradaserra/institucional/coordenadorias/coadm/chamada-pública-concluídas</x:v>
      </x:c>
      <x:c r="O85" s="8" t="str">
        <x:v>https://drive.google.com/file/d/1pzC2qhTXj3QNZsbZ4fBSZSIkxT8H7X8_/view?usp=drive_link</x:v>
      </x:c>
      <x:c r="P85" s="8"/>
      <x:c r="Q85" s="8" t="str">
        <x:v>FALHA_DOWNLOAD</x:v>
      </x:c>
      <x:c r="R85" s="8" t="str">
        <x:v>PENDENTE_ARQUIVO</x:v>
      </x:c>
      <x:c r="S85" s="8" t="str">
        <x:v>Publicação histórica com sessão em janeiro de 2025; PDF retorna HTTP 404. Exercício ainda não conferido no arquivo.</x:v>
      </x:c>
      <x:c r="T85" s="8" t="str"/>
    </x:row>
    <x:row r="86" ht="84" customHeight="1">
      <x:c r="A86" s="8" t="str">
        <x:v>ED-0082</x:v>
      </x:c>
      <x:c r="B86" s="8" t="str">
        <x:v>Tangará da Serra</x:v>
      </x:c>
      <x:c r="C86" s="8" t="str">
        <x:v>Porto Estrela</x:v>
      </x:c>
      <x:c r="D86" s="8"/>
      <x:c r="E86" s="8"/>
      <x:c r="F86" s="8" t="str">
        <x:v>012/2024</x:v>
      </x:c>
      <x:c r="G86" s="8" t="n">
        <x:v>2024</x:v>
      </x:c>
      <x:c r="H86" s="8"/>
      <x:c r="I86" s="8"/>
      <x:c r="J86" s="8" t="str">
        <x:v>Aquisição de gêneros alimentícios para alimentação escolar da agricultura familiar</x:v>
      </x:c>
      <x:c r="K86" s="8" t="str">
        <x:v>Chamada pública</x:v>
      </x:c>
      <x:c r="L86" s="15"/>
      <x:c r="M86" s="8"/>
      <x:c r="N86" s="8" t="str">
        <x:v>https://sites.google.com/edu.mt.gov.br/dre-tangaradaserra/institucional/coordenadorias/coadm/chamada-pública-concluídas</x:v>
      </x:c>
      <x:c r="O86" s="8" t="str">
        <x:v>https://drive.google.com/file/d/1xAysEQ2u520IYvXlbAJszLnxCjLWy1Gz/view?usp=drive_link</x:v>
      </x:c>
      <x:c r="P86" s="8"/>
      <x:c r="Q86" s="8" t="str">
        <x:v>FALHA_DOWNLOAD</x:v>
      </x:c>
      <x:c r="R86" s="8" t="str">
        <x:v>PENDENTE_ARQUIVO</x:v>
      </x:c>
      <x:c r="S86" s="8" t="str">
        <x:v>Publicação histórica com sessão em janeiro de 2025; PDF retorna HTTP 404. Exercício ainda não conferido no arquivo.</x:v>
      </x:c>
      <x:c r="T86" s="8" t="str"/>
    </x:row>
    <x:row r="87" ht="84" customHeight="1">
      <x:c r="A87" s="8" t="str">
        <x:v>ED-0083</x:v>
      </x:c>
      <x:c r="B87" s="8" t="str">
        <x:v>Tangará da Serra</x:v>
      </x:c>
      <x:c r="C87" s="8" t="str">
        <x:v>Nova Olímpia</x:v>
      </x:c>
      <x:c r="D87" s="8"/>
      <x:c r="E87" s="8"/>
      <x:c r="F87" s="8" t="str">
        <x:v>011/2024</x:v>
      </x:c>
      <x:c r="G87" s="8" t="n">
        <x:v>2024</x:v>
      </x:c>
      <x:c r="H87" s="8"/>
      <x:c r="I87" s="8"/>
      <x:c r="J87" s="8" t="str">
        <x:v>Aquisição de gêneros alimentícios para alimentação escolar da agricultura familiar</x:v>
      </x:c>
      <x:c r="K87" s="8" t="str">
        <x:v>Chamada pública</x:v>
      </x:c>
      <x:c r="L87" s="15"/>
      <x:c r="M87" s="8"/>
      <x:c r="N87" s="8" t="str">
        <x:v>https://sites.google.com/edu.mt.gov.br/dre-tangaradaserra/institucional/coordenadorias/coadm/chamada-pública-concluídas</x:v>
      </x:c>
      <x:c r="O87" s="8" t="str">
        <x:v>https://drive.google.com/file/d/1BcSqSk-pcRGIqwD1yMcrXcuqKncBeNHw/view?usp=drive_link</x:v>
      </x:c>
      <x:c r="P87" s="8"/>
      <x:c r="Q87" s="8" t="str">
        <x:v>FALHA_DOWNLOAD</x:v>
      </x:c>
      <x:c r="R87" s="8" t="str">
        <x:v>PENDENTE_ARQUIVO</x:v>
      </x:c>
      <x:c r="S87" s="8" t="str">
        <x:v>Publicação histórica com sessão em janeiro de 2025; PDF retorna HTTP 404. Exercício ainda não conferido no arquivo.</x:v>
      </x:c>
      <x:c r="T87" s="8" t="str"/>
    </x:row>
    <x:row r="88" ht="84" customHeight="1">
      <x:c r="A88" s="8" t="str">
        <x:v>ED-0084</x:v>
      </x:c>
      <x:c r="B88" s="8" t="str">
        <x:v>Tangará da Serra</x:v>
      </x:c>
      <x:c r="C88" s="8" t="str">
        <x:v>Denise</x:v>
      </x:c>
      <x:c r="D88" s="8"/>
      <x:c r="E88" s="8"/>
      <x:c r="F88" s="8" t="str">
        <x:v>010/2024</x:v>
      </x:c>
      <x:c r="G88" s="8" t="n">
        <x:v>2024</x:v>
      </x:c>
      <x:c r="H88" s="8"/>
      <x:c r="I88" s="8"/>
      <x:c r="J88" s="8" t="str">
        <x:v>Aquisição de gêneros alimentícios para alimentação escolar da agricultura familiar</x:v>
      </x:c>
      <x:c r="K88" s="8" t="str">
        <x:v>Chamada pública</x:v>
      </x:c>
      <x:c r="L88" s="15"/>
      <x:c r="M88" s="8"/>
      <x:c r="N88" s="8" t="str">
        <x:v>https://sites.google.com/edu.mt.gov.br/dre-tangaradaserra/institucional/coordenadorias/coadm/chamada-pública-concluídas</x:v>
      </x:c>
      <x:c r="O88" s="8" t="str">
        <x:v>https://drive.google.com/file/d/1lx7feury5GzGqaYu3fxkf0wkzaG8yuSj/view?usp=drive_link</x:v>
      </x:c>
      <x:c r="P88" s="8"/>
      <x:c r="Q88" s="8" t="str">
        <x:v>FALHA_DOWNLOAD</x:v>
      </x:c>
      <x:c r="R88" s="8" t="str">
        <x:v>PENDENTE_ARQUIVO</x:v>
      </x:c>
      <x:c r="S88" s="8" t="str">
        <x:v>Publicação histórica com sessão em janeiro de 2025; PDF retorna HTTP 404. Exercício ainda não conferido no arquivo.</x:v>
      </x:c>
      <x:c r="T88" s="8" t="str"/>
    </x:row>
    <x:row r="89" ht="84" customHeight="1">
      <x:c r="A89" s="8" t="str">
        <x:v>ED-0085</x:v>
      </x:c>
      <x:c r="B89" s="8" t="str">
        <x:v>Tangará da Serra</x:v>
      </x:c>
      <x:c r="C89" s="8" t="str">
        <x:v>Campo Novo do Parecis</x:v>
      </x:c>
      <x:c r="D89" s="8"/>
      <x:c r="E89" s="8"/>
      <x:c r="F89" s="8" t="str">
        <x:v>009/2024</x:v>
      </x:c>
      <x:c r="G89" s="8" t="n">
        <x:v>2024</x:v>
      </x:c>
      <x:c r="H89" s="8"/>
      <x:c r="I89" s="8"/>
      <x:c r="J89" s="8" t="str">
        <x:v>Aquisição de gêneros alimentícios para alimentação escolar da agricultura familiar</x:v>
      </x:c>
      <x:c r="K89" s="8" t="str">
        <x:v>Chamada pública</x:v>
      </x:c>
      <x:c r="L89" s="15"/>
      <x:c r="M89" s="8"/>
      <x:c r="N89" s="8" t="str">
        <x:v>https://sites.google.com/edu.mt.gov.br/dre-tangaradaserra/institucional/coordenadorias/coadm/chamada-pública-concluídas</x:v>
      </x:c>
      <x:c r="O89" s="8" t="str">
        <x:v>https://drive.google.com/file/d/1ByAy0T06Y7QG9YNM4ZIZbk_eHmbidlDv/view?usp=drive_link</x:v>
      </x:c>
      <x:c r="P89" s="8"/>
      <x:c r="Q89" s="8" t="str">
        <x:v>FALHA_DOWNLOAD</x:v>
      </x:c>
      <x:c r="R89" s="8" t="str">
        <x:v>PENDENTE_ARQUIVO</x:v>
      </x:c>
      <x:c r="S89" s="8" t="str">
        <x:v>Publicação histórica com sessão em janeiro de 2025; PDF retorna HTTP 404. Exercício ainda não conferido no arquivo.</x:v>
      </x:c>
      <x:c r="T89" s="8" t="str"/>
    </x:row>
    <x:row r="90" ht="84" customHeight="1">
      <x:c r="A90" s="8" t="str">
        <x:v>ED-0086</x:v>
      </x:c>
      <x:c r="B90" s="8" t="str">
        <x:v>Tangará da Serra</x:v>
      </x:c>
      <x:c r="C90" s="8" t="str">
        <x:v>Barra do Bugres</x:v>
      </x:c>
      <x:c r="D90" s="8"/>
      <x:c r="E90" s="8"/>
      <x:c r="F90" s="8" t="str">
        <x:v>008/2024</x:v>
      </x:c>
      <x:c r="G90" s="8" t="n">
        <x:v>2024</x:v>
      </x:c>
      <x:c r="H90" s="8"/>
      <x:c r="I90" s="8"/>
      <x:c r="J90" s="8" t="str">
        <x:v>Aquisição de gêneros alimentícios para alimentação escolar da agricultura familiar</x:v>
      </x:c>
      <x:c r="K90" s="8" t="str">
        <x:v>Chamada pública</x:v>
      </x:c>
      <x:c r="L90" s="15"/>
      <x:c r="M90" s="8"/>
      <x:c r="N90" s="8" t="str">
        <x:v>https://sites.google.com/edu.mt.gov.br/dre-tangaradaserra/institucional/coordenadorias/coadm/chamada-pública-concluídas</x:v>
      </x:c>
      <x:c r="O90" s="8" t="str">
        <x:v>https://drive.google.com/file/d/1QXgBS_ON4HEe4EP-0cBgF9LMN808hc0m/view?usp=drive_link</x:v>
      </x:c>
      <x:c r="P90" s="8"/>
      <x:c r="Q90" s="8" t="str">
        <x:v>FALHA_DOWNLOAD</x:v>
      </x:c>
      <x:c r="R90" s="8" t="str">
        <x:v>PENDENTE_ARQUIVO</x:v>
      </x:c>
      <x:c r="S90" s="8" t="str">
        <x:v>Publicação histórica com sessão em janeiro de 2025; PDF retorna HTTP 404. Exercício ainda não conferido no arquivo.</x:v>
      </x:c>
      <x:c r="T90" s="8" t="str"/>
    </x:row>
    <x:row r="91" ht="84" customHeight="1">
      <x:c r="A91" s="8" t="str">
        <x:v>ED-0087</x:v>
      </x:c>
      <x:c r="B91" s="8" t="str">
        <x:v>Cáceres</x:v>
      </x:c>
      <x:c r="C91" s="8" t="str">
        <x:v>Curvelândia</x:v>
      </x:c>
      <x:c r="D91" s="8"/>
      <x:c r="E91" s="8"/>
      <x:c r="F91" s="8" t="str">
        <x:v>013/2024</x:v>
      </x:c>
      <x:c r="G91" s="8" t="n">
        <x:v>2024</x:v>
      </x:c>
      <x:c r="H91" s="8"/>
      <x:c r="I91" s="8" t="n">
        <x:v>2025</x:v>
      </x:c>
      <x:c r="J91" s="8" t="str">
        <x:v>Aquisição de gêneros alimentícios para alimentação escolar</x:v>
      </x:c>
      <x:c r="K91" s="8" t="str">
        <x:v>Pregão</x:v>
      </x:c>
      <x:c r="L91" s="15"/>
      <x:c r="M91" s="8"/>
      <x:c r="N91" s="8" t="str">
        <x:v>https://www.drecaceres.com.br/edital.php?id=233</x:v>
      </x:c>
      <x:c r="O91" s="8" t="str">
        <x:v>https://drive.google.com/file/d/1RPraEuk2hI9FQBZoJVwmMYSC-G6IsKq-/view</x:v>
      </x:c>
      <x:c r="P91" s="8" t="str">
        <x:v>PNAE_MT_2025/03_CACERES/DOC-0095_DOC-0095.pdf</x:v>
      </x:c>
      <x:c r="Q91" s="8" t="str">
        <x:v>BAIXADO_VALIDADO</x:v>
      </x:c>
      <x:c r="R91" s="8" t="str">
        <x:v>PREGAO_2025</x:v>
      </x:c>
      <x:c r="S91" s="8" t="str">
        <x:v>Categoria separada da agricultura familiar. Não importar no módulo de chamadas públicas.</x:v>
      </x:c>
      <x:c r="T91" s="8" t="str"/>
    </x:row>
    <x:row r="92" ht="84" customHeight="1">
      <x:c r="A92" s="8" t="str">
        <x:v>ED-0088</x:v>
      </x:c>
      <x:c r="B92" s="8" t="str">
        <x:v>Cáceres</x:v>
      </x:c>
      <x:c r="C92" s="8" t="str">
        <x:v>Mirassol D’Oeste</x:v>
      </x:c>
      <x:c r="D92" s="8"/>
      <x:c r="E92" s="8"/>
      <x:c r="F92" s="8" t="str">
        <x:v>014/2024</x:v>
      </x:c>
      <x:c r="G92" s="8" t="n">
        <x:v>2024</x:v>
      </x:c>
      <x:c r="H92" s="8"/>
      <x:c r="I92" s="8" t="n">
        <x:v>2025</x:v>
      </x:c>
      <x:c r="J92" s="8" t="str">
        <x:v>Aquisição de gêneros alimentícios para alimentação escolar</x:v>
      </x:c>
      <x:c r="K92" s="8" t="str">
        <x:v>Pregão</x:v>
      </x:c>
      <x:c r="L92" s="15"/>
      <x:c r="M92" s="8"/>
      <x:c r="N92" s="8" t="str">
        <x:v>https://www.drecaceres.com.br/edital.php?id=233</x:v>
      </x:c>
      <x:c r="O92" s="8" t="str">
        <x:v>https://drive.google.com/file/d/1DLSem3a2G6qp_HVFAj6-37RRpgyjgEqH/view?usp=sharing</x:v>
      </x:c>
      <x:c r="P92" s="8" t="str">
        <x:v>PNAE_MT_2025/03_CACERES/DOC-0096_DOC-0096.pdf</x:v>
      </x:c>
      <x:c r="Q92" s="8" t="str">
        <x:v>BAIXADO_VALIDADO</x:v>
      </x:c>
      <x:c r="R92" s="8" t="str">
        <x:v>PREGAO_2025</x:v>
      </x:c>
      <x:c r="S92" s="8" t="str">
        <x:v>Categoria separada da agricultura familiar. Não importar no módulo de chamadas públicas.</x:v>
      </x:c>
      <x:c r="T92" s="8" t="str"/>
    </x:row>
    <x:row r="93" ht="84" customHeight="1">
      <x:c r="A93" s="8" t="str">
        <x:v>ED-0089</x:v>
      </x:c>
      <x:c r="B93" s="8" t="str">
        <x:v>Cáceres</x:v>
      </x:c>
      <x:c r="C93" s="8" t="str">
        <x:v>Glória D’Oeste</x:v>
      </x:c>
      <x:c r="D93" s="8"/>
      <x:c r="E93" s="8"/>
      <x:c r="F93" s="8" t="str">
        <x:v>015/2024</x:v>
      </x:c>
      <x:c r="G93" s="8" t="n">
        <x:v>2024</x:v>
      </x:c>
      <x:c r="H93" s="8"/>
      <x:c r="I93" s="8" t="n">
        <x:v>2025</x:v>
      </x:c>
      <x:c r="J93" s="8" t="str">
        <x:v>Aquisição de gêneros alimentícios para alimentação escolar</x:v>
      </x:c>
      <x:c r="K93" s="8" t="str">
        <x:v>Pregão</x:v>
      </x:c>
      <x:c r="L93" s="15"/>
      <x:c r="M93" s="8"/>
      <x:c r="N93" s="8" t="str">
        <x:v>https://www.drecaceres.com.br/edital.php?id=233</x:v>
      </x:c>
      <x:c r="O93" s="8" t="str">
        <x:v>https://drive.google.com/file/d/1j8USo6mX-z2qdQiot-c6bLJpSVuk500h/view?usp=sharing</x:v>
      </x:c>
      <x:c r="P93" s="8" t="str">
        <x:v>PNAE_MT_2025/03_CACERES/DOC-0097_DOC-0097.pdf</x:v>
      </x:c>
      <x:c r="Q93" s="8" t="str">
        <x:v>BAIXADO_VALIDADO</x:v>
      </x:c>
      <x:c r="R93" s="8" t="str">
        <x:v>PREGAO_2025</x:v>
      </x:c>
      <x:c r="S93" s="8" t="str">
        <x:v>Categoria separada da agricultura familiar. Não importar no módulo de chamadas públicas.</x:v>
      </x:c>
      <x:c r="T93" s="8" t="str"/>
    </x:row>
    <x:row r="94" ht="84" customHeight="1">
      <x:c r="A94" s="8" t="str">
        <x:v>ED-0090</x:v>
      </x:c>
      <x:c r="B94" s="8" t="str">
        <x:v>Cáceres</x:v>
      </x:c>
      <x:c r="C94" s="8" t="str">
        <x:v>Cáceres</x:v>
      </x:c>
      <x:c r="D94" s="8"/>
      <x:c r="E94" s="8"/>
      <x:c r="F94" s="8" t="str">
        <x:v>017/2024</x:v>
      </x:c>
      <x:c r="G94" s="8" t="n">
        <x:v>2024</x:v>
      </x:c>
      <x:c r="H94" s="8"/>
      <x:c r="I94" s="8" t="n">
        <x:v>2025</x:v>
      </x:c>
      <x:c r="J94" s="8" t="str">
        <x:v>Aquisição de gêneros alimentícios para alimentação escolar</x:v>
      </x:c>
      <x:c r="K94" s="8" t="str">
        <x:v>Pregão</x:v>
      </x:c>
      <x:c r="L94" s="15"/>
      <x:c r="M94" s="8"/>
      <x:c r="N94" s="8" t="str">
        <x:v>https://www.drecaceres.com.br/edital.php?id=233</x:v>
      </x:c>
      <x:c r="O94" s="8" t="str">
        <x:v>https://drive.google.com/file/d/1BDnloUNQArc6mq0YhfpAHz8Xjcz5E_sh/view?usp=sharing</x:v>
      </x:c>
      <x:c r="P94" s="8" t="str">
        <x:v>PNAE_MT_2025/03_CACERES/DOC-0098_DOC-0098.pdf</x:v>
      </x:c>
      <x:c r="Q94" s="8" t="str">
        <x:v>BAIXADO_VALIDADO</x:v>
      </x:c>
      <x:c r="R94" s="8" t="str">
        <x:v>PREGAO_2025</x:v>
      </x:c>
      <x:c r="S94" s="8" t="str">
        <x:v>Categoria separada da agricultura familiar. Não importar no módulo de chamadas públicas.</x:v>
      </x:c>
      <x:c r="T94" s="8" t="str"/>
    </x:row>
    <x:row r="95" ht="84" customHeight="1">
      <x:c r="A95" s="8" t="str">
        <x:v>ED-0091</x:v>
      </x:c>
      <x:c r="B95" s="8" t="str">
        <x:v>Cáceres</x:v>
      </x:c>
      <x:c r="C95" s="8" t="str">
        <x:v>Porto Esperidião</x:v>
      </x:c>
      <x:c r="D95" s="8"/>
      <x:c r="E95" s="8"/>
      <x:c r="F95" s="8" t="str">
        <x:v>016/2024</x:v>
      </x:c>
      <x:c r="G95" s="8" t="n">
        <x:v>2024</x:v>
      </x:c>
      <x:c r="H95" s="8"/>
      <x:c r="I95" s="8" t="n">
        <x:v>2025</x:v>
      </x:c>
      <x:c r="J95" s="8" t="str">
        <x:v>Aquisição de gêneros alimentícios para alimentação escolar</x:v>
      </x:c>
      <x:c r="K95" s="8" t="str">
        <x:v>Pregão</x:v>
      </x:c>
      <x:c r="L95" s="15"/>
      <x:c r="M95" s="8"/>
      <x:c r="N95" s="8" t="str">
        <x:v>https://www.drecaceres.com.br/edital.php?id=233</x:v>
      </x:c>
      <x:c r="O95" s="8" t="str">
        <x:v>https://drive.google.com/file/d/1Ky3eb9ihi1dvUE6o29vA_JjwKJbV5gnj/view?usp=sharing</x:v>
      </x:c>
      <x:c r="P95" s="8" t="str">
        <x:v>PNAE_MT_2025/03_CACERES/DOC-0101_DOC-0101.pdf</x:v>
      </x:c>
      <x:c r="Q95" s="8" t="str">
        <x:v>BAIXADO_VALIDADO</x:v>
      </x:c>
      <x:c r="R95" s="8" t="str">
        <x:v>PREGAO_2025</x:v>
      </x:c>
      <x:c r="S95" s="8" t="str">
        <x:v>Categoria separada da agricultura familiar. Não importar no módulo de chamadas públicas.</x:v>
      </x:c>
      <x:c r="T95" s="8" t="str"/>
    </x:row>
    <x:row r="96" ht="84" customHeight="1">
      <x:c r="A96" s="8" t="str">
        <x:v>ED-0092</x:v>
      </x:c>
      <x:c r="B96" s="8" t="str">
        <x:v>Alta Floresta</x:v>
      </x:c>
      <x:c r="C96" s="8" t="str">
        <x:v>Nova Monte Verde</x:v>
      </x:c>
      <x:c r="D96" s="8"/>
      <x:c r="E96" s="8"/>
      <x:c r="F96" s="8" t="str">
        <x:v>013/2024</x:v>
      </x:c>
      <x:c r="G96" s="8" t="n">
        <x:v>2024</x:v>
      </x:c>
      <x:c r="H96" s="8"/>
      <x:c r="I96" s="8" t="n">
        <x:v>2025</x:v>
      </x:c>
      <x:c r="J96" s="8" t="str">
        <x:v>Aquisição de gêneros alimentícios para alimentação escolar da agricultura familiar</x:v>
      </x:c>
      <x:c r="K96" s="8" t="str">
        <x:v>Chamada pública</x:v>
      </x:c>
      <x:c r="L96" s="15"/>
      <x:c r="M96" s="8" t="str">
        <x:v>Histórico localizado; situação administrativa não inferida</x:v>
      </x:c>
      <x:c r="N96" s="8" t="str">
        <x:v>https://drealtafloresta.com.br/drealtafloresta/aviso-de-chamada-publica-no-013-2024-p-o-municipio-de-nova-monte-verde-mt-ano-letivo-de-2025/</x:v>
      </x:c>
      <x:c r="O96" s="8" t="str">
        <x:v>https://drealtafloresta.com.br/drealtafloresta/wp-content/uploads/2024/12/EDITAL-CHAMADA-PUBLICA-2025-Nova-Monte-Verde.pdf</x:v>
      </x:c>
      <x:c r="P96" s="8" t="str">
        <x:v>PNAE_MT_2025/01_ALTA_FLORESTA/DOC-0102_EDITAL-CHAMADA-PUBLICA-2025-Nova-Monte-Verde.pdf</x:v>
      </x:c>
      <x:c r="Q96" s="8" t="str">
        <x:v>BAIXADO_VALIDADO</x:v>
      </x:c>
      <x:c r="R96" s="8" t="str">
        <x:v>ELEGIVEL_2025</x:v>
      </x:c>
      <x:c r="S96" s="8" t="str">
        <x:v>Ano letivo de 2025 confirmado no PDF; dados extraídos sujeitos à conferência administrativa.</x:v>
      </x:c>
      <x:c r="T96" s="8" t="str">
        <x:v>Escopo territorial preservado. CNPJ da DRE não substitui CNPJ da escola/CDCE.</x:v>
      </x:c>
    </x:row>
    <x:row r="97" ht="84" customHeight="1">
      <x:c r="A97" s="8" t="str">
        <x:v>ED-0093</x:v>
      </x:c>
      <x:c r="B97" s="8" t="str">
        <x:v>Alta Floresta</x:v>
      </x:c>
      <x:c r="C97" s="8" t="str">
        <x:v>Nova Bandeirantes</x:v>
      </x:c>
      <x:c r="D97" s="8"/>
      <x:c r="E97" s="8"/>
      <x:c r="F97" s="8" t="str">
        <x:v>014/2024</x:v>
      </x:c>
      <x:c r="G97" s="8" t="n">
        <x:v>2024</x:v>
      </x:c>
      <x:c r="H97" s="8"/>
      <x:c r="I97" s="8" t="n">
        <x:v>2025</x:v>
      </x:c>
      <x:c r="J97" s="8" t="str">
        <x:v>Aquisição de gêneros alimentícios para alimentação escolar da agricultura familiar</x:v>
      </x:c>
      <x:c r="K97" s="8" t="str">
        <x:v>Chamada pública</x:v>
      </x:c>
      <x:c r="L97" s="15"/>
      <x:c r="M97" s="8" t="str">
        <x:v>Histórico localizado; situação administrativa não inferida</x:v>
      </x:c>
      <x:c r="N97" s="8" t="str">
        <x:v>https://drealtafloresta.com.br/drealtafloresta/aviso-de-chamada-publica-no-014-2024-p-o-municipio-de-nova-bandeirantes-ano-letivo-de-2025/</x:v>
      </x:c>
      <x:c r="O97" s="8" t="str">
        <x:v>https://drealtafloresta.com.br/drealtafloresta/wp-content/uploads/2024/12/EDITAL-CHAMADA-PUBLICA-N.-BANDEIRANTES-014-24-ano-letivo-2025.pdf</x:v>
      </x:c>
      <x:c r="P97" s="8" t="str">
        <x:v>PNAE_MT_2025/01_ALTA_FLORESTA/DOC-0103_EDITAL-CHAMADA-PUBLICA-N.-BANDEIRANTES-014-24-ano-letivo-2025.pdf</x:v>
      </x:c>
      <x:c r="Q97" s="8" t="str">
        <x:v>BAIXADO_VALIDADO</x:v>
      </x:c>
      <x:c r="R97" s="8" t="str">
        <x:v>ELEGIVEL_2025</x:v>
      </x:c>
      <x:c r="S97" s="8" t="str">
        <x:v>Ano letivo de 2025 confirmado no PDF; dados extraídos sujeitos à conferência administrativa.</x:v>
      </x:c>
      <x:c r="T97" s="8" t="str">
        <x:v>Escopo territorial preservado. CNPJ da DRE não substitui CNPJ da escola/CDCE.</x:v>
      </x:c>
    </x:row>
    <x:row r="98" ht="84" customHeight="1">
      <x:c r="A98" s="8" t="str">
        <x:v>ED-0094</x:v>
      </x:c>
      <x:c r="B98" s="8" t="str">
        <x:v>Alta Floresta</x:v>
      </x:c>
      <x:c r="C98" s="8" t="str">
        <x:v>Apiacás</x:v>
      </x:c>
      <x:c r="D98" s="8"/>
      <x:c r="E98" s="8"/>
      <x:c r="F98" s="8" t="str">
        <x:v>012/2024</x:v>
      </x:c>
      <x:c r="G98" s="8" t="n">
        <x:v>2024</x:v>
      </x:c>
      <x:c r="H98" s="8"/>
      <x:c r="I98" s="8" t="n">
        <x:v>2025</x:v>
      </x:c>
      <x:c r="J98" s="8" t="str">
        <x:v>Aquisição de gêneros alimentícios para alimentação escolar da agricultura familiar</x:v>
      </x:c>
      <x:c r="K98" s="8" t="str">
        <x:v>Chamada pública</x:v>
      </x:c>
      <x:c r="L98" s="15"/>
      <x:c r="M98" s="8" t="str">
        <x:v>Histórico localizado; situação administrativa não inferida</x:v>
      </x:c>
      <x:c r="N98" s="8" t="str">
        <x:v>https://drealtafloresta.com.br/drealtafloresta/aviso-de-chamada-publica-no-012-2024-p-o-municipio-de-apiacas-mt-ano-letivo-de-2025/</x:v>
      </x:c>
      <x:c r="O98" s="8" t="str">
        <x:v>https://drealtafloresta.com.br/drealtafloresta/wp-content/uploads/2024/12/EDITAL-CHAMADA-PUBLICA-012-24-APIACAS-ano-letivo-2025-1.pdf</x:v>
      </x:c>
      <x:c r="P98" s="8" t="str">
        <x:v>PNAE_MT_2025/01_ALTA_FLORESTA/DOC-0104_EDITAL-CHAMADA-PUBLICA-012-24-APIACAS-ano-letivo-2025-1.pdf</x:v>
      </x:c>
      <x:c r="Q98" s="8" t="str">
        <x:v>BAIXADO_VALIDADO</x:v>
      </x:c>
      <x:c r="R98" s="8" t="str">
        <x:v>ELEGIVEL_2025</x:v>
      </x:c>
      <x:c r="S98" s="8" t="str">
        <x:v>Ano letivo de 2025 confirmado no PDF; dados extraídos sujeitos à conferência administrativa.</x:v>
      </x:c>
      <x:c r="T98" s="8" t="str">
        <x:v>Escopo territorial preservado. CNPJ da DRE não substitui CNPJ da escola/CDCE.</x:v>
      </x:c>
    </x:row>
    <x:row r="99" ht="84" customHeight="1">
      <x:c r="A99" s="8" t="str">
        <x:v>ED-0095</x:v>
      </x:c>
      <x:c r="B99" s="8" t="str">
        <x:v>Alta Floresta</x:v>
      </x:c>
      <x:c r="C99" s="8" t="str">
        <x:v>Nova Canaã do Norte</x:v>
      </x:c>
      <x:c r="D99" s="8"/>
      <x:c r="E99" s="8"/>
      <x:c r="F99" s="8" t="str">
        <x:v>010/2024</x:v>
      </x:c>
      <x:c r="G99" s="8" t="n">
        <x:v>2024</x:v>
      </x:c>
      <x:c r="H99" s="8"/>
      <x:c r="I99" s="8" t="n">
        <x:v>2025</x:v>
      </x:c>
      <x:c r="J99" s="8" t="str">
        <x:v>Aquisição de gêneros alimentícios para alimentação escolar da agricultura familiar</x:v>
      </x:c>
      <x:c r="K99" s="8" t="str">
        <x:v>Chamada pública</x:v>
      </x:c>
      <x:c r="L99" s="15"/>
      <x:c r="M99" s="8" t="str">
        <x:v>Histórico localizado; situação administrativa não inferida</x:v>
      </x:c>
      <x:c r="N99" s="8" t="str">
        <x:v>https://drealtafloresta.com.br/drealtafloresta/aviso-de-chamada-publica-no-010-2024-p-o-municipio-de-nova-canaa-do-norte-ano-letivo-2025/</x:v>
      </x:c>
      <x:c r="O99" s="8" t="str">
        <x:v>https://drealtafloresta.com.br/drealtafloresta/wp-content/uploads/2024/12/EDITAL-CHAMADA-PUBLICA-NCN-010-24-ano-letivo-2025.pdf</x:v>
      </x:c>
      <x:c r="P99" s="8" t="str">
        <x:v>PNAE_MT_2025/01_ALTA_FLORESTA/DOC-0105_EDITAL-CHAMADA-PUBLICA-NCN-010-24-ano-letivo-2025.pdf</x:v>
      </x:c>
      <x:c r="Q99" s="8" t="str">
        <x:v>BAIXADO_VALIDADO</x:v>
      </x:c>
      <x:c r="R99" s="8" t="str">
        <x:v>ELEGIVEL_2025</x:v>
      </x:c>
      <x:c r="S99" s="8" t="str">
        <x:v>Ano letivo de 2025 confirmado no PDF; dados extraídos sujeitos à conferência administrativa.</x:v>
      </x:c>
      <x:c r="T99" s="8" t="str">
        <x:v>Escopo territorial preservado. CNPJ da DRE não substitui CNPJ da escola/CDCE.</x:v>
      </x:c>
    </x:row>
    <x:row r="100" ht="84" customHeight="1">
      <x:c r="A100" s="8" t="str">
        <x:v>ED-0096</x:v>
      </x:c>
      <x:c r="B100" s="8" t="str">
        <x:v>Alta Floresta</x:v>
      </x:c>
      <x:c r="C100" s="8" t="str">
        <x:v>Carlinda</x:v>
      </x:c>
      <x:c r="D100" s="8"/>
      <x:c r="E100" s="8"/>
      <x:c r="F100" s="8" t="str">
        <x:v>009/2024</x:v>
      </x:c>
      <x:c r="G100" s="8" t="n">
        <x:v>2024</x:v>
      </x:c>
      <x:c r="H100" s="8"/>
      <x:c r="I100" s="8" t="n">
        <x:v>2025</x:v>
      </x:c>
      <x:c r="J100" s="8" t="str">
        <x:v>Aquisição de gêneros alimentícios para alimentação escolar da agricultura familiar</x:v>
      </x:c>
      <x:c r="K100" s="8" t="str">
        <x:v>Chamada pública</x:v>
      </x:c>
      <x:c r="L100" s="15"/>
      <x:c r="M100" s="8" t="str">
        <x:v>Histórico localizado; situação administrativa não inferida</x:v>
      </x:c>
      <x:c r="N100" s="8" t="str">
        <x:v>https://drealtafloresta.com.br/drealtafloresta/aviso-de-chamada-publica-no-009-2024-p-o-municipio-carlinda-mt-ano-letivo-de-2025/</x:v>
      </x:c>
      <x:c r="O100" s="8" t="str">
        <x:v>https://drealtafloresta.com.br/drealtafloresta/wp-content/uploads/2024/12/EDITAL-CHAMADA-PUBLICA-No-009-24-CARLINDA-Ano-letivo-2025-1.pdf</x:v>
      </x:c>
      <x:c r="P100" s="8" t="str">
        <x:v>PNAE_MT_2025/01_ALTA_FLORESTA/DOC-0106_EDITAL-CHAMADA-PUBLICA-No-009-24-CARLINDA-Ano-letivo-2025-1.pdf</x:v>
      </x:c>
      <x:c r="Q100" s="8" t="str">
        <x:v>BAIXADO_VALIDADO</x:v>
      </x:c>
      <x:c r="R100" s="8" t="str">
        <x:v>ELEGIVEL_2025</x:v>
      </x:c>
      <x:c r="S100" s="8" t="str">
        <x:v>Ano letivo de 2025 confirmado no PDF; dados extraídos sujeitos à conferência administrativa.</x:v>
      </x:c>
      <x:c r="T100" s="8" t="str">
        <x:v>Escopo territorial preservado. CNPJ da DRE não substitui CNPJ da escola/CDCE.</x:v>
      </x:c>
    </x:row>
    <x:row r="101" ht="84" customHeight="1">
      <x:c r="A101" s="8" t="str">
        <x:v>ED-0097</x:v>
      </x:c>
      <x:c r="B101" s="8" t="str">
        <x:v>Alta Floresta</x:v>
      </x:c>
      <x:c r="C101" s="8" t="str">
        <x:v>Paranaíta</x:v>
      </x:c>
      <x:c r="D101" s="8"/>
      <x:c r="E101" s="8"/>
      <x:c r="F101" s="8" t="str">
        <x:v>011/2024</x:v>
      </x:c>
      <x:c r="G101" s="8" t="n">
        <x:v>2024</x:v>
      </x:c>
      <x:c r="H101" s="8"/>
      <x:c r="I101" s="8" t="n">
        <x:v>2025</x:v>
      </x:c>
      <x:c r="J101" s="8" t="str">
        <x:v>Aquisição de gêneros alimentícios para alimentação escolar da agricultura familiar</x:v>
      </x:c>
      <x:c r="K101" s="8" t="str">
        <x:v>Chamada pública</x:v>
      </x:c>
      <x:c r="L101" s="15"/>
      <x:c r="M101" s="8" t="str">
        <x:v>Histórico localizado; situação administrativa não inferida</x:v>
      </x:c>
      <x:c r="N101" s="8" t="str">
        <x:v>https://drealtafloresta.com.br/drealtafloresta/aviso-de-chamada-publica-no-011-2024-paranaita-2/</x:v>
      </x:c>
      <x:c r="O101" s="8" t="str">
        <x:v>https://drealtafloresta.com.br/drealtafloresta/wp-content/uploads/2024/12/EDITAL-CHAMADA-PUBLICA-011-24-PTA-ano-letivo-2025-1.pdf</x:v>
      </x:c>
      <x:c r="P101" s="8" t="str">
        <x:v>PNAE_MT_2025/01_ALTA_FLORESTA/DOC-0107_EDITAL-CHAMADA-PUBLICA-011-24-PTA-ano-letivo-2025-1.pdf</x:v>
      </x:c>
      <x:c r="Q101" s="8" t="str">
        <x:v>BAIXADO_VALIDADO</x:v>
      </x:c>
      <x:c r="R101" s="8" t="str">
        <x:v>ELEGIVEL_2025</x:v>
      </x:c>
      <x:c r="S101" s="8" t="str">
        <x:v>Ano letivo de 2025 confirmado no PDF; dados extraídos sujeitos à conferência administrativa.</x:v>
      </x:c>
      <x:c r="T101" s="8" t="str">
        <x:v>Escopo territorial preservado. CNPJ da DRE não substitui CNPJ da escola/CDCE.</x:v>
      </x:c>
    </x:row>
    <x:row r="102" ht="84" customHeight="1">
      <x:c r="A102" s="8" t="str">
        <x:v>ED-0098</x:v>
      </x:c>
      <x:c r="B102" s="8" t="str">
        <x:v>Alta Floresta</x:v>
      </x:c>
      <x:c r="C102" s="8" t="str">
        <x:v>Alta Floresta</x:v>
      </x:c>
      <x:c r="D102" s="8"/>
      <x:c r="E102" s="8"/>
      <x:c r="F102" s="8" t="str">
        <x:v>008/2024</x:v>
      </x:c>
      <x:c r="G102" s="8" t="n">
        <x:v>2024</x:v>
      </x:c>
      <x:c r="H102" s="8"/>
      <x:c r="I102" s="8" t="n">
        <x:v>2025</x:v>
      </x:c>
      <x:c r="J102" s="8" t="str">
        <x:v>Aquisição de gêneros alimentícios para alimentação escolar da agricultura familiar</x:v>
      </x:c>
      <x:c r="K102" s="8" t="str">
        <x:v>Chamada pública</x:v>
      </x:c>
      <x:c r="L102" s="15"/>
      <x:c r="M102" s="8" t="str">
        <x:v>Histórico localizado; situação administrativa não inferida</x:v>
      </x:c>
      <x:c r="N102" s="8" t="str">
        <x:v>https://drealtafloresta.com.br/drealtafloresta/aviso-de-chamada-publica-no-008-2024-alta-floresta/</x:v>
      </x:c>
      <x:c r="O102" s="8" t="str">
        <x:v>https://drealtafloresta.com.br/drealtafloresta/wp-content/uploads/2024/12/EDITAL-CHAMADA-PUBLICA-008-24-AF-ano-letivo-2025.pdf</x:v>
      </x:c>
      <x:c r="P102" s="8" t="str">
        <x:v>PNAE_MT_2025/01_ALTA_FLORESTA/DOC-0108_EDITAL-CHAMADA-PUBLICA-008-24-AF-ano-letivo-2025.pdf</x:v>
      </x:c>
      <x:c r="Q102" s="8" t="str">
        <x:v>BAIXADO_VALIDADO</x:v>
      </x:c>
      <x:c r="R102" s="8" t="str">
        <x:v>ELEGIVEL_2025</x:v>
      </x:c>
      <x:c r="S102" s="8" t="str">
        <x:v>Ano letivo de 2025 confirmado no PDF; dados extraídos sujeitos à conferência administrativa.</x:v>
      </x:c>
      <x:c r="T102" s="8" t="str">
        <x:v>Escopo territorial preservado. CNPJ da DRE não substitui CNPJ da escola/CDCE.</x:v>
      </x:c>
    </x:row>
    <x:row r="103" ht="84" customHeight="1">
      <x:c r="A103" s="8" t="str">
        <x:v>ED-0099</x:v>
      </x:c>
      <x:c r="B103" s="8" t="str">
        <x:v>Metropolitana</x:v>
      </x:c>
      <x:c r="C103" s="8" t="str">
        <x:v>Cuiabá</x:v>
      </x:c>
      <x:c r="D103" s="8"/>
      <x:c r="E103" s="8"/>
      <x:c r="F103" s="8" t="str">
        <x:v>003/2025</x:v>
      </x:c>
      <x:c r="G103" s="8" t="n">
        <x:v>2025</x:v>
      </x:c>
      <x:c r="H103" s="8"/>
      <x:c r="I103" s="8" t="n">
        <x:v>2026</x:v>
      </x:c>
      <x:c r="J103" s="8" t="str">
        <x:v>Aquisição de gêneros alimentícios para alimentação escolar da agricultura familiar</x:v>
      </x:c>
      <x:c r="K103" s="8" t="str">
        <x:v>Chamada pública</x:v>
      </x:c>
      <x:c r="L103" s="15"/>
      <x:c r="M103" s="8"/>
      <x:c r="N103" s="8" t="str">
        <x:v>https://www.dmetropolitana.org/pregao-2025</x:v>
      </x:c>
      <x:c r="O103" s="8" t="str">
        <x:v>https://www.dmetropolitana.org/_files/ugd/2004f4_a29852589efd42ed8e069f3abcffbbc7.pdf</x:v>
      </x:c>
      <x:c r="P103" s="8" t="str">
        <x:v>DOCUMENTOS_FORA_ESCOPO_OU_CONFLITANTES/08_METROPOLITANA/DOC-0109_2004f4_a29852589efd42ed8e069f3abcffbbc7.pdf</x:v>
      </x:c>
      <x:c r="Q103" s="8" t="str">
        <x:v>BAIXADO_VALIDADO</x:v>
      </x:c>
      <x:c r="R103" s="8" t="str">
        <x:v>FORA_ESCOPO_2026</x:v>
      </x:c>
      <x:c r="S103" s="8" t="str">
        <x:v>Portal associa à rodada de fim de 2025; processo/datas 2026 ou normas de setembro de 2025 conflitam com ano letivo 2025 no modelo. Não resolver automaticamente.</x:v>
      </x:c>
      <x:c r="T103" s="8" t="str"/>
    </x:row>
    <x:row r="104" ht="84" customHeight="1">
      <x:c r="A104" s="8" t="str">
        <x:v>ED-0100</x:v>
      </x:c>
      <x:c r="B104" s="8" t="str">
        <x:v>Metropolitana</x:v>
      </x:c>
      <x:c r="C104" s="8" t="str">
        <x:v>Várzea Grande</x:v>
      </x:c>
      <x:c r="D104" s="8"/>
      <x:c r="E104" s="8"/>
      <x:c r="F104" s="8" t="str">
        <x:v>002/2025</x:v>
      </x:c>
      <x:c r="G104" s="8" t="n">
        <x:v>2025</x:v>
      </x:c>
      <x:c r="H104" s="8"/>
      <x:c r="I104" s="8"/>
      <x:c r="J104" s="8" t="str">
        <x:v>Aquisição de gêneros alimentícios para alimentação escolar da agricultura familiar</x:v>
      </x:c>
      <x:c r="K104" s="8" t="str">
        <x:v>Chamada pública</x:v>
      </x:c>
      <x:c r="L104" s="15"/>
      <x:c r="M104" s="8"/>
      <x:c r="N104" s="8" t="str">
        <x:v>https://www.dmetropolitana.org/pregao-2025</x:v>
      </x:c>
      <x:c r="O104" s="8" t="str">
        <x:v>https://www.dmetropolitana.org/_files/ugd/2004f4_d275f8ff4df34f22aac00f2ef72077a1.pdf</x:v>
      </x:c>
      <x:c r="P104" s="8" t="str">
        <x:v>DOCUMENTOS_FORA_ESCOPO_OU_CONFLITANTES/08_METROPOLITANA/DOC-0110_2004f4_d275f8ff4df34f22aac00f2ef72077a1.pdf</x:v>
      </x:c>
      <x:c r="Q104" s="8" t="str">
        <x:v>BAIXADO_VALIDADO</x:v>
      </x:c>
      <x:c r="R104" s="8" t="str">
        <x:v>CONFLITO_EXERCICIO</x:v>
      </x:c>
      <x:c r="S104" s="8" t="str">
        <x:v>Portal associa à rodada de fim de 2025; processo/datas 2026 ou normas de setembro de 2025 conflitam com ano letivo 2025 no modelo. Não resolver automaticamente.</x:v>
      </x:c>
      <x:c r="T104" s="8" t="str"/>
    </x:row>
    <x:row r="105" ht="84" customHeight="1">
      <x:c r="A105" s="8" t="str">
        <x:v>ED-0101</x:v>
      </x:c>
      <x:c r="B105" s="8" t="str">
        <x:v>Metropolitana</x:v>
      </x:c>
      <x:c r="C105" s="8" t="str">
        <x:v>Santo Antônio do Leverger</x:v>
      </x:c>
      <x:c r="D105" s="8"/>
      <x:c r="E105" s="8"/>
      <x:c r="F105" s="8" t="str">
        <x:v>001/2026</x:v>
      </x:c>
      <x:c r="G105" s="8" t="n">
        <x:v>2026</x:v>
      </x:c>
      <x:c r="H105" s="8"/>
      <x:c r="I105" s="8" t="n">
        <x:v>2026</x:v>
      </x:c>
      <x:c r="J105" s="8" t="str">
        <x:v>Aquisição de gêneros alimentícios para alimentação escolar da agricultura familiar</x:v>
      </x:c>
      <x:c r="K105" s="8" t="str">
        <x:v>Chamada pública</x:v>
      </x:c>
      <x:c r="L105" s="15"/>
      <x:c r="M105" s="8"/>
      <x:c r="N105" s="8" t="str">
        <x:v>https://www.dmetropolitana.org/pregao-2025</x:v>
      </x:c>
      <x:c r="O105" s="8" t="str">
        <x:v>https://www.dmetropolitana.org/_files/ugd/2004f4_7e7f9188a88349d28235ca65582376ca.pdf</x:v>
      </x:c>
      <x:c r="P105" s="8" t="str">
        <x:v>DOCUMENTOS_FORA_ESCOPO_OU_CONFLITANTES/08_METROPOLITANA/DOC-0111_2004f4_7e7f9188a88349d28235ca65582376ca.pdf</x:v>
      </x:c>
      <x:c r="Q105" s="8" t="str">
        <x:v>BAIXADO_VALIDADO</x:v>
      </x:c>
      <x:c r="R105" s="8" t="str">
        <x:v>FORA_ESCOPO_2026</x:v>
      </x:c>
      <x:c r="S105" s="8" t="str">
        <x:v>Portal associa à rodada de fim de 2025; processo/datas 2026 ou normas de setembro de 2025 conflitam com ano letivo 2025 no modelo. Não resolver automaticamente.</x:v>
      </x:c>
      <x:c r="T105" s="8" t="str"/>
    </x:row>
    <x:row r="106" ht="84" customHeight="1">
      <x:c r="A106" s="8" t="str">
        <x:v>ED-0102</x:v>
      </x:c>
      <x:c r="B106" s="8" t="str">
        <x:v>Metropolitana</x:v>
      </x:c>
      <x:c r="C106" s="8" t="str">
        <x:v>Nossa Senhora do Livramento</x:v>
      </x:c>
      <x:c r="D106" s="8"/>
      <x:c r="E106" s="8"/>
      <x:c r="F106" s="8" t="str">
        <x:v>005/2026</x:v>
      </x:c>
      <x:c r="G106" s="8" t="n">
        <x:v>2026</x:v>
      </x:c>
      <x:c r="H106" s="8"/>
      <x:c r="I106" s="8"/>
      <x:c r="J106" s="8" t="str">
        <x:v>Aquisição de gêneros alimentícios para alimentação escolar da agricultura familiar</x:v>
      </x:c>
      <x:c r="K106" s="8" t="str">
        <x:v>Chamada pública</x:v>
      </x:c>
      <x:c r="L106" s="15"/>
      <x:c r="M106" s="8"/>
      <x:c r="N106" s="8" t="str">
        <x:v>https://www.dmetropolitana.org/pregao-2025</x:v>
      </x:c>
      <x:c r="O106" s="8" t="str">
        <x:v>https://www.dmetropolitana.org/_files/ugd/2004f4_e84cb3a0d1f64507beff5c292c9fac5e.pdf</x:v>
      </x:c>
      <x:c r="P106" s="8" t="str">
        <x:v>DOCUMENTOS_FORA_ESCOPO_OU_CONFLITANTES/08_METROPOLITANA/DOC-0112_2004f4_e84cb3a0d1f64507beff5c292c9fac5e.pdf</x:v>
      </x:c>
      <x:c r="Q106" s="8" t="str">
        <x:v>BAIXADO_VALIDADO</x:v>
      </x:c>
      <x:c r="R106" s="8" t="str">
        <x:v>CONFLITO_EXERCICIO</x:v>
      </x:c>
      <x:c r="S106" s="8" t="str">
        <x:v>Portal associa à rodada de fim de 2025; processo/datas 2026 ou normas de setembro de 2025 conflitam com ano letivo 2025 no modelo. Não resolver automaticamente.</x:v>
      </x:c>
      <x:c r="T106" s="8" t="str"/>
    </x:row>
    <x:row r="107" ht="84" customHeight="1">
      <x:c r="A107" s="8" t="str">
        <x:v>ED-0103</x:v>
      </x:c>
      <x:c r="B107" s="8" t="str">
        <x:v>Metropolitana</x:v>
      </x:c>
      <x:c r="C107" s="8" t="str">
        <x:v>Poconé</x:v>
      </x:c>
      <x:c r="D107" s="8"/>
      <x:c r="E107" s="8"/>
      <x:c r="F107" s="8" t="str">
        <x:v>006/2026</x:v>
      </x:c>
      <x:c r="G107" s="8" t="n">
        <x:v>2026</x:v>
      </x:c>
      <x:c r="H107" s="8"/>
      <x:c r="I107" s="8"/>
      <x:c r="J107" s="8" t="str">
        <x:v>Aquisição de gêneros alimentícios para alimentação escolar da agricultura familiar</x:v>
      </x:c>
      <x:c r="K107" s="8" t="str">
        <x:v>Chamada pública</x:v>
      </x:c>
      <x:c r="L107" s="15"/>
      <x:c r="M107" s="8"/>
      <x:c r="N107" s="8" t="str">
        <x:v>https://www.dmetropolitana.org/pregao-2025</x:v>
      </x:c>
      <x:c r="O107" s="8" t="str">
        <x:v>https://www.dmetropolitana.org/_files/ugd/2004f4_88a5d1caedc34dde8c02a2ce8321076d.pdf</x:v>
      </x:c>
      <x:c r="P107" s="8" t="str">
        <x:v>DOCUMENTOS_FORA_ESCOPO_OU_CONFLITANTES/08_METROPOLITANA/DOC-0113_2004f4_88a5d1caedc34dde8c02a2ce8321076d.pdf</x:v>
      </x:c>
      <x:c r="Q107" s="8" t="str">
        <x:v>BAIXADO_VALIDADO</x:v>
      </x:c>
      <x:c r="R107" s="8" t="str">
        <x:v>CONFLITO_EXERCICIO</x:v>
      </x:c>
      <x:c r="S107" s="8" t="str">
        <x:v>Portal associa à rodada de fim de 2025; processo/datas 2026 ou normas de setembro de 2025 conflitam com ano letivo 2025 no modelo. Não resolver automaticamente.</x:v>
      </x:c>
      <x:c r="T107" s="8" t="str"/>
    </x:row>
    <x:row r="108" ht="84" customHeight="1">
      <x:c r="A108" s="8" t="str">
        <x:v>ED-0104</x:v>
      </x:c>
      <x:c r="B108" s="8" t="str">
        <x:v>Metropolitana</x:v>
      </x:c>
      <x:c r="C108" s="8" t="str">
        <x:v>Jangada</x:v>
      </x:c>
      <x:c r="D108" s="8"/>
      <x:c r="E108" s="8"/>
      <x:c r="F108" s="8" t="str">
        <x:v>004/2026</x:v>
      </x:c>
      <x:c r="G108" s="8" t="n">
        <x:v>2026</x:v>
      </x:c>
      <x:c r="H108" s="8"/>
      <x:c r="I108" s="8"/>
      <x:c r="J108" s="8" t="str">
        <x:v>Aquisição de gêneros alimentícios para alimentação escolar da agricultura familiar</x:v>
      </x:c>
      <x:c r="K108" s="8" t="str">
        <x:v>Chamada pública</x:v>
      </x:c>
      <x:c r="L108" s="15"/>
      <x:c r="M108" s="8"/>
      <x:c r="N108" s="8" t="str">
        <x:v>https://www.dmetropolitana.org/pregao-2025</x:v>
      </x:c>
      <x:c r="O108" s="8" t="str">
        <x:v>https://www.dmetropolitana.org/_files/ugd/2004f4_42c1768cd2454f29a14f5e8b51c5c509.pdf</x:v>
      </x:c>
      <x:c r="P108" s="8" t="str">
        <x:v>DOCUMENTOS_FORA_ESCOPO_OU_CONFLITANTES/08_METROPOLITANA/DOC-0114_2004f4_42c1768cd2454f29a14f5e8b51c5c509.pdf</x:v>
      </x:c>
      <x:c r="Q108" s="8" t="str">
        <x:v>BAIXADO_VALIDADO</x:v>
      </x:c>
      <x:c r="R108" s="8" t="str">
        <x:v>CONFLITO_EXERCICIO</x:v>
      </x:c>
      <x:c r="S108" s="8" t="str">
        <x:v>Portal associa à rodada de fim de 2025; processo/datas 2026 ou normas de setembro de 2025 conflitam com ano letivo 2025 no modelo. Não resolver automaticamente.</x:v>
      </x:c>
      <x:c r="T108" s="8" t="str"/>
    </x:row>
    <x:row r="109" ht="84" customHeight="1">
      <x:c r="A109" s="8" t="str">
        <x:v>ED-0105</x:v>
      </x:c>
      <x:c r="B109" s="8" t="str">
        <x:v>Metropolitana</x:v>
      </x:c>
      <x:c r="C109" s="8" t="str">
        <x:v>Acorizal</x:v>
      </x:c>
      <x:c r="D109" s="8"/>
      <x:c r="E109" s="8"/>
      <x:c r="F109" s="8" t="str">
        <x:v>003/2026</x:v>
      </x:c>
      <x:c r="G109" s="8" t="n">
        <x:v>2026</x:v>
      </x:c>
      <x:c r="H109" s="8"/>
      <x:c r="I109" s="8"/>
      <x:c r="J109" s="8" t="str">
        <x:v>Aquisição de gêneros alimentícios para alimentação escolar da agricultura familiar</x:v>
      </x:c>
      <x:c r="K109" s="8" t="str">
        <x:v>Chamada pública</x:v>
      </x:c>
      <x:c r="L109" s="15"/>
      <x:c r="M109" s="8"/>
      <x:c r="N109" s="8" t="str">
        <x:v>https://www.dmetropolitana.org/pregao-2025</x:v>
      </x:c>
      <x:c r="O109" s="8" t="str">
        <x:v>https://www.dmetropolitana.org/_files/ugd/2004f4_fcf2491bb40c4f5ca34e34cc02490f53.pdf</x:v>
      </x:c>
      <x:c r="P109" s="8" t="str">
        <x:v>DOCUMENTOS_FORA_ESCOPO_OU_CONFLITANTES/08_METROPOLITANA/DOC-0115_2004f4_fcf2491bb40c4f5ca34e34cc02490f53.pdf</x:v>
      </x:c>
      <x:c r="Q109" s="8" t="str">
        <x:v>BAIXADO_VALIDADO</x:v>
      </x:c>
      <x:c r="R109" s="8" t="str">
        <x:v>CONFLITO_EXERCICIO</x:v>
      </x:c>
      <x:c r="S109" s="8" t="str">
        <x:v>Portal associa à rodada de fim de 2025; processo/datas 2026 ou normas de setembro de 2025 conflitam com ano letivo 2025 no modelo. Não resolver automaticamente.</x:v>
      </x:c>
      <x:c r="T109" s="8" t="str"/>
    </x:row>
    <x:row r="110" ht="84" customHeight="1">
      <x:c r="A110" s="8" t="str">
        <x:v>ED-0106</x:v>
      </x:c>
      <x:c r="B110" s="8" t="str">
        <x:v>Metropolitana</x:v>
      </x:c>
      <x:c r="C110" s="8" t="str">
        <x:v>Barão de Melgaço</x:v>
      </x:c>
      <x:c r="D110" s="8"/>
      <x:c r="E110" s="8"/>
      <x:c r="F110" s="8" t="str">
        <x:v>002/2026</x:v>
      </x:c>
      <x:c r="G110" s="8" t="n">
        <x:v>2026</x:v>
      </x:c>
      <x:c r="H110" s="8"/>
      <x:c r="I110" s="8"/>
      <x:c r="J110" s="8" t="str">
        <x:v>Aquisição de gêneros alimentícios para alimentação escolar da agricultura familiar</x:v>
      </x:c>
      <x:c r="K110" s="8" t="str">
        <x:v>Chamada pública</x:v>
      </x:c>
      <x:c r="L110" s="15"/>
      <x:c r="M110" s="8"/>
      <x:c r="N110" s="8" t="str">
        <x:v>https://www.dmetropolitana.org/pregao-2025</x:v>
      </x:c>
      <x:c r="O110" s="8" t="str">
        <x:v>https://www.dmetropolitana.org/_files/ugd/2004f4_c48619e9ff29426d9ad5922b1a9474d8.pdf</x:v>
      </x:c>
      <x:c r="P110" s="8" t="str">
        <x:v>DOCUMENTOS_FORA_ESCOPO_OU_CONFLITANTES/08_METROPOLITANA/DOC-0116_2004f4_c48619e9ff29426d9ad5922b1a9474d8.pdf</x:v>
      </x:c>
      <x:c r="Q110" s="8" t="str">
        <x:v>BAIXADO_VALIDADO</x:v>
      </x:c>
      <x:c r="R110" s="8" t="str">
        <x:v>CONFLITO_EXERCICIO</x:v>
      </x:c>
      <x:c r="S110" s="8" t="str">
        <x:v>Portal associa à rodada de fim de 2025; processo/datas 2026 ou normas de setembro de 2025 conflitam com ano letivo 2025 no modelo. Não resolver automaticamente.</x:v>
      </x:c>
      <x:c r="T110" s="8" t="str"/>
    </x:row>
    <x:row r="111" ht="84" customHeight="1">
      <x:c r="A111" s="8" t="str">
        <x:v>ED-0107</x:v>
      </x:c>
      <x:c r="B111" s="8" t="str">
        <x:v>Metropolitana</x:v>
      </x:c>
      <x:c r="C111" s="8" t="str">
        <x:v>Chapada dos Guimarães</x:v>
      </x:c>
      <x:c r="D111" s="8"/>
      <x:c r="E111" s="8"/>
      <x:c r="F111" s="8" t="str">
        <x:v>007/2025</x:v>
      </x:c>
      <x:c r="G111" s="8" t="n">
        <x:v>2025</x:v>
      </x:c>
      <x:c r="H111" s="8"/>
      <x:c r="I111" s="8"/>
      <x:c r="J111" s="8" t="str">
        <x:v>Aquisição de gêneros alimentícios para alimentação escolar da agricultura familiar</x:v>
      </x:c>
      <x:c r="K111" s="8" t="str">
        <x:v>Chamada pública</x:v>
      </x:c>
      <x:c r="L111" s="15"/>
      <x:c r="M111" s="8"/>
      <x:c r="N111" s="8" t="str">
        <x:v>https://www.dmetropolitana.org/pregao-2025</x:v>
      </x:c>
      <x:c r="O111" s="8" t="str">
        <x:v>https://www.dmetropolitana.org/_files/ugd/2004f4_a40cb2d0ef534c7d8b8153fb4c5c9697.pdf</x:v>
      </x:c>
      <x:c r="P111" s="8" t="str">
        <x:v>DOCUMENTOS_FORA_ESCOPO_OU_CONFLITANTES/08_METROPOLITANA/DOC-0117_2004f4_a40cb2d0ef534c7d8b8153fb4c5c9697.pdf</x:v>
      </x:c>
      <x:c r="Q111" s="8" t="str">
        <x:v>BAIXADO_VALIDADO</x:v>
      </x:c>
      <x:c r="R111" s="8" t="str">
        <x:v>CONFLITO_EXERCICIO</x:v>
      </x:c>
      <x:c r="S111" s="8" t="str">
        <x:v>Portal associa à rodada de fim de 2025; processo/datas 2026 ou normas de setembro de 2025 conflitam com ano letivo 2025 no modelo. Não resolver automaticamente.</x:v>
      </x:c>
      <x:c r="T111" s="8" t="str"/>
    </x:row>
    <x:row r="112" ht="84" customHeight="1">
      <x:c r="A112" s="8" t="str">
        <x:v>ED-0108</x:v>
      </x:c>
      <x:c r="B112" s="8" t="str">
        <x:v>Metropolitana</x:v>
      </x:c>
      <x:c r="C112" s="8" t="str">
        <x:v>Planalto da Serra</x:v>
      </x:c>
      <x:c r="D112" s="8"/>
      <x:c r="E112" s="8"/>
      <x:c r="F112" s="8" t="str">
        <x:v>008/2026</x:v>
      </x:c>
      <x:c r="G112" s="8" t="n">
        <x:v>2026</x:v>
      </x:c>
      <x:c r="H112" s="8"/>
      <x:c r="I112" s="8"/>
      <x:c r="J112" s="8" t="str">
        <x:v>Aquisição de gêneros alimentícios para alimentação escolar da agricultura familiar</x:v>
      </x:c>
      <x:c r="K112" s="8" t="str">
        <x:v>Chamada pública</x:v>
      </x:c>
      <x:c r="L112" s="15"/>
      <x:c r="M112" s="8"/>
      <x:c r="N112" s="8" t="str">
        <x:v>https://www.dmetropolitana.org/pregao-2025</x:v>
      </x:c>
      <x:c r="O112" s="8" t="str">
        <x:v>https://www.dmetropolitana.org/_files/ugd/2004f4_c959216226f846ae8cd20addd9412c18.pdf</x:v>
      </x:c>
      <x:c r="P112" s="8" t="str">
        <x:v>DOCUMENTOS_FORA_ESCOPO_OU_CONFLITANTES/08_METROPOLITANA/DOC-0118_2004f4_c959216226f846ae8cd20addd9412c18.pdf</x:v>
      </x:c>
      <x:c r="Q112" s="8" t="str">
        <x:v>BAIXADO_VALIDADO</x:v>
      </x:c>
      <x:c r="R112" s="8" t="str">
        <x:v>CONFLITO_EXERCICIO</x:v>
      </x:c>
      <x:c r="S112" s="8" t="str">
        <x:v>Portal associa à rodada de fim de 2025; processo/datas 2026 ou normas de setembro de 2025 conflitam com ano letivo 2025 no modelo. Não resolver automaticamente.</x:v>
      </x:c>
      <x:c r="T112" s="8" t="str"/>
    </x:row>
    <x:row r="113" ht="84" customHeight="1">
      <x:c r="A113" s="8" t="str">
        <x:v>ED-0109</x:v>
      </x:c>
      <x:c r="B113" s="8" t="str">
        <x:v>Metropolitana</x:v>
      </x:c>
      <x:c r="C113" s="8" t="str">
        <x:v>Nova Brasilândia</x:v>
      </x:c>
      <x:c r="D113" s="8"/>
      <x:c r="E113" s="8"/>
      <x:c r="F113" s="8" t="str">
        <x:v>009/2026</x:v>
      </x:c>
      <x:c r="G113" s="8" t="n">
        <x:v>2026</x:v>
      </x:c>
      <x:c r="H113" s="8"/>
      <x:c r="I113" s="8"/>
      <x:c r="J113" s="8" t="str">
        <x:v>Aquisição de gêneros alimentícios para alimentação escolar da agricultura familiar</x:v>
      </x:c>
      <x:c r="K113" s="8" t="str">
        <x:v>Chamada pública</x:v>
      </x:c>
      <x:c r="L113" s="15"/>
      <x:c r="M113" s="8"/>
      <x:c r="N113" s="8" t="str">
        <x:v>https://www.dmetropolitana.org/pregao-2025</x:v>
      </x:c>
      <x:c r="O113" s="8" t="str">
        <x:v>https://www.dmetropolitana.org/_files/ugd/2004f4_bd417cb1a36a4509975aedce74924758.pdf</x:v>
      </x:c>
      <x:c r="P113" s="8" t="str">
        <x:v>DOCUMENTOS_FORA_ESCOPO_OU_CONFLITANTES/08_METROPOLITANA/DOC-0119_2004f4_bd417cb1a36a4509975aedce74924758.pdf</x:v>
      </x:c>
      <x:c r="Q113" s="8" t="str">
        <x:v>BAIXADO_VALIDADO</x:v>
      </x:c>
      <x:c r="R113" s="8" t="str">
        <x:v>CONFLITO_EXERCICIO</x:v>
      </x:c>
      <x:c r="S113" s="8" t="str">
        <x:v>Portal associa à rodada de fim de 2025; processo/datas 2026 ou normas de setembro de 2025 conflitam com ano letivo 2025 no modelo. Não resolver automaticamente.</x:v>
      </x:c>
      <x:c r="T113" s="8" t="str"/>
    </x:row>
    <x:row r="114" ht="84" customHeight="1">
      <x:c r="A114" s="8" t="str">
        <x:v>ED-0110</x:v>
      </x:c>
      <x:c r="B114" s="8" t="str">
        <x:v>Metropolitana</x:v>
      </x:c>
      <x:c r="C114" s="8" t="str">
        <x:v>Cuiabá</x:v>
      </x:c>
      <x:c r="D114" s="8"/>
      <x:c r="E114" s="8"/>
      <x:c r="F114" s="8" t="str">
        <x:v>007/2024</x:v>
      </x:c>
      <x:c r="G114" s="8" t="n">
        <x:v>2024</x:v>
      </x:c>
      <x:c r="H114" s="8"/>
      <x:c r="I114" s="8" t="n">
        <x:v>2025</x:v>
      </x:c>
      <x:c r="J114" s="8" t="str">
        <x:v>Aquisição de gêneros alimentícios para alimentação escolar</x:v>
      </x:c>
      <x:c r="K114" s="8" t="str">
        <x:v>Pregão</x:v>
      </x:c>
      <x:c r="L114" s="15"/>
      <x:c r="M114" s="8"/>
      <x:c r="N114" s="8" t="str">
        <x:v>https://www.dmetropolitana.org/pregao-2025</x:v>
      </x:c>
      <x:c r="O114" s="8" t="str">
        <x:v>https://www.dmetropolitana.org/_files/ugd/2004f4_dea8716823c14c04a061631b6fd19025.pdf</x:v>
      </x:c>
      <x:c r="P114" s="8" t="str">
        <x:v>PNAE_MT_2025/08_METROPOLITANA/DOC-0120_2004f4_dea8716823c14c04a061631b6fd19025.pdf</x:v>
      </x:c>
      <x:c r="Q114" s="8" t="str">
        <x:v>BAIXADO_VALIDADO</x:v>
      </x:c>
      <x:c r="R114" s="8" t="str">
        <x:v>PREGAO_2025</x:v>
      </x:c>
      <x:c r="S114" s="8" t="str">
        <x:v>Categoria separada da agricultura familiar. Não importar no módulo de chamadas públicas.</x:v>
      </x:c>
      <x:c r="T114" s="8" t="str"/>
    </x:row>
    <x:row r="115" ht="84" customHeight="1">
      <x:c r="A115" s="8" t="str">
        <x:v>ED-0111</x:v>
      </x:c>
      <x:c r="B115" s="8" t="str">
        <x:v>Metropolitana</x:v>
      </x:c>
      <x:c r="C115" s="8" t="str">
        <x:v>Várzea Grande</x:v>
      </x:c>
      <x:c r="D115" s="8"/>
      <x:c r="E115" s="8"/>
      <x:c r="F115" s="8" t="str">
        <x:v>008/2024</x:v>
      </x:c>
      <x:c r="G115" s="8" t="n">
        <x:v>2024</x:v>
      </x:c>
      <x:c r="H115" s="8"/>
      <x:c r="I115" s="8" t="n">
        <x:v>2025</x:v>
      </x:c>
      <x:c r="J115" s="8" t="str">
        <x:v>Aquisição de gêneros alimentícios para alimentação escolar</x:v>
      </x:c>
      <x:c r="K115" s="8" t="str">
        <x:v>Pregão</x:v>
      </x:c>
      <x:c r="L115" s="15"/>
      <x:c r="M115" s="8"/>
      <x:c r="N115" s="8" t="str">
        <x:v>https://www.dmetropolitana.org/pregao-2025</x:v>
      </x:c>
      <x:c r="O115" s="8" t="str">
        <x:v>https://www.dmetropolitana.org/_files/ugd/2004f4_8bb54366edc047cc91e143616c8418c9.pdf</x:v>
      </x:c>
      <x:c r="P115" s="8" t="str">
        <x:v>PNAE_MT_2025/08_METROPOLITANA/DOC-0121_2004f4_8bb54366edc047cc91e143616c8418c9.pdf</x:v>
      </x:c>
      <x:c r="Q115" s="8" t="str">
        <x:v>BAIXADO_VALIDADO</x:v>
      </x:c>
      <x:c r="R115" s="8" t="str">
        <x:v>PREGAO_2025</x:v>
      </x:c>
      <x:c r="S115" s="8" t="str">
        <x:v>Categoria separada da agricultura familiar. Não importar no módulo de chamadas públicas.</x:v>
      </x:c>
      <x:c r="T115" s="8" t="str"/>
    </x:row>
    <x:row r="116" ht="84" customHeight="1">
      <x:c r="A116" s="8" t="str">
        <x:v>ED-0112</x:v>
      </x:c>
      <x:c r="B116" s="8" t="str">
        <x:v>Metropolitana</x:v>
      </x:c>
      <x:c r="C116" s="8" t="str">
        <x:v>Santo Antônio do Leverger</x:v>
      </x:c>
      <x:c r="D116" s="8"/>
      <x:c r="E116" s="8"/>
      <x:c r="F116" s="8" t="str">
        <x:v>009/2024</x:v>
      </x:c>
      <x:c r="G116" s="8" t="n">
        <x:v>2024</x:v>
      </x:c>
      <x:c r="H116" s="8"/>
      <x:c r="I116" s="8" t="n">
        <x:v>2025</x:v>
      </x:c>
      <x:c r="J116" s="8" t="str">
        <x:v>Aquisição de gêneros alimentícios para alimentação escolar</x:v>
      </x:c>
      <x:c r="K116" s="8" t="str">
        <x:v>Pregão</x:v>
      </x:c>
      <x:c r="L116" s="15"/>
      <x:c r="M116" s="8"/>
      <x:c r="N116" s="8" t="str">
        <x:v>https://www.dmetropolitana.org/pregao-2025</x:v>
      </x:c>
      <x:c r="O116" s="8" t="str">
        <x:v>https://www.dmetropolitana.org/_files/ugd/2004f4_87ed7fac89b54734a58548ab9bf6741b.pdf</x:v>
      </x:c>
      <x:c r="P116" s="8" t="str">
        <x:v>PNAE_MT_2025/08_METROPOLITANA/DOC-0122_2004f4_87ed7fac89b54734a58548ab9bf6741b.pdf</x:v>
      </x:c>
      <x:c r="Q116" s="8" t="str">
        <x:v>BAIXADO_VALIDADO</x:v>
      </x:c>
      <x:c r="R116" s="8" t="str">
        <x:v>PREGAO_2025</x:v>
      </x:c>
      <x:c r="S116" s="8" t="str">
        <x:v>Categoria separada da agricultura familiar. Não importar no módulo de chamadas públicas.</x:v>
      </x:c>
      <x:c r="T116" s="8" t="str"/>
    </x:row>
    <x:row r="117" ht="84" customHeight="1">
      <x:c r="A117" s="8" t="str">
        <x:v>ED-0113</x:v>
      </x:c>
      <x:c r="B117" s="8" t="str">
        <x:v>Metropolitana</x:v>
      </x:c>
      <x:c r="C117" s="8" t="str">
        <x:v>Poconé</x:v>
      </x:c>
      <x:c r="D117" s="8"/>
      <x:c r="E117" s="8"/>
      <x:c r="F117" s="8" t="str">
        <x:v>010/2024</x:v>
      </x:c>
      <x:c r="G117" s="8" t="n">
        <x:v>2024</x:v>
      </x:c>
      <x:c r="H117" s="8"/>
      <x:c r="I117" s="8" t="n">
        <x:v>2025</x:v>
      </x:c>
      <x:c r="J117" s="8" t="str">
        <x:v>Aquisição de gêneros alimentícios para alimentação escolar</x:v>
      </x:c>
      <x:c r="K117" s="8" t="str">
        <x:v>Pregão</x:v>
      </x:c>
      <x:c r="L117" s="15"/>
      <x:c r="M117" s="8"/>
      <x:c r="N117" s="8" t="str">
        <x:v>https://www.dmetropolitana.org/pregao-2025</x:v>
      </x:c>
      <x:c r="O117" s="8" t="str">
        <x:v>https://www.dmetropolitana.org/_files/ugd/2004f4_f869b5af3e7a42e58206e5a5f70a15f0.pdf</x:v>
      </x:c>
      <x:c r="P117" s="8" t="str">
        <x:v>PNAE_MT_2025/08_METROPOLITANA/DOC-0123_2004f4_f869b5af3e7a42e58206e5a5f70a15f0.pdf</x:v>
      </x:c>
      <x:c r="Q117" s="8" t="str">
        <x:v>BAIXADO_VALIDADO</x:v>
      </x:c>
      <x:c r="R117" s="8" t="str">
        <x:v>PREGAO_2025</x:v>
      </x:c>
      <x:c r="S117" s="8" t="str">
        <x:v>Categoria separada da agricultura familiar. Não importar no módulo de chamadas públicas.</x:v>
      </x:c>
      <x:c r="T117" s="8" t="str"/>
    </x:row>
    <x:row r="118" ht="84" customHeight="1">
      <x:c r="A118" s="8" t="str">
        <x:v>ED-0114</x:v>
      </x:c>
      <x:c r="B118" s="8" t="str">
        <x:v>Metropolitana</x:v>
      </x:c>
      <x:c r="C118" s="8" t="str">
        <x:v>Nossa Senhora do Livramento</x:v>
      </x:c>
      <x:c r="D118" s="8"/>
      <x:c r="E118" s="8"/>
      <x:c r="F118" s="8" t="str">
        <x:v>011/2024</x:v>
      </x:c>
      <x:c r="G118" s="8" t="n">
        <x:v>2024</x:v>
      </x:c>
      <x:c r="H118" s="8"/>
      <x:c r="I118" s="8" t="n">
        <x:v>2025</x:v>
      </x:c>
      <x:c r="J118" s="8" t="str">
        <x:v>Aquisição de gêneros alimentícios para alimentação escolar</x:v>
      </x:c>
      <x:c r="K118" s="8" t="str">
        <x:v>Pregão</x:v>
      </x:c>
      <x:c r="L118" s="15"/>
      <x:c r="M118" s="8"/>
      <x:c r="N118" s="8" t="str">
        <x:v>https://www.dmetropolitana.org/pregao-2025</x:v>
      </x:c>
      <x:c r="O118" s="8" t="str">
        <x:v>https://www.dmetropolitana.org/_files/ugd/2004f4_a8813c38b6e34b8880bad6dada1b622d.pdf</x:v>
      </x:c>
      <x:c r="P118" s="8" t="str">
        <x:v>PNAE_MT_2025/08_METROPOLITANA/DOC-0124_2004f4_a8813c38b6e34b8880bad6dada1b622d.pdf</x:v>
      </x:c>
      <x:c r="Q118" s="8" t="str">
        <x:v>BAIXADO_VALIDADO</x:v>
      </x:c>
      <x:c r="R118" s="8" t="str">
        <x:v>PREGAO_2025</x:v>
      </x:c>
      <x:c r="S118" s="8" t="str">
        <x:v>Categoria separada da agricultura familiar. Não importar no módulo de chamadas públicas.</x:v>
      </x:c>
      <x:c r="T118" s="8" t="str"/>
    </x:row>
    <x:row r="119" ht="84" customHeight="1">
      <x:c r="A119" s="8" t="str">
        <x:v>ED-0115</x:v>
      </x:c>
      <x:c r="B119" s="8" t="str">
        <x:v>Metropolitana</x:v>
      </x:c>
      <x:c r="C119" s="8" t="str">
        <x:v>Jangada</x:v>
      </x:c>
      <x:c r="D119" s="8"/>
      <x:c r="E119" s="8"/>
      <x:c r="F119" s="8" t="str">
        <x:v>012/2024</x:v>
      </x:c>
      <x:c r="G119" s="8" t="n">
        <x:v>2024</x:v>
      </x:c>
      <x:c r="H119" s="8"/>
      <x:c r="I119" s="8" t="n">
        <x:v>2025</x:v>
      </x:c>
      <x:c r="J119" s="8" t="str">
        <x:v>Aquisição de gêneros alimentícios para alimentação escolar</x:v>
      </x:c>
      <x:c r="K119" s="8" t="str">
        <x:v>Pregão</x:v>
      </x:c>
      <x:c r="L119" s="15"/>
      <x:c r="M119" s="8"/>
      <x:c r="N119" s="8" t="str">
        <x:v>https://www.dmetropolitana.org/pregao-2025</x:v>
      </x:c>
      <x:c r="O119" s="8" t="str">
        <x:v>https://www.dmetropolitana.org/_files/ugd/2004f4_df2e8ee18b594ee6a5b25064c8856c92.pdf</x:v>
      </x:c>
      <x:c r="P119" s="8" t="str">
        <x:v>PNAE_MT_2025/08_METROPOLITANA/DOC-0125_2004f4_df2e8ee18b594ee6a5b25064c8856c92.pdf</x:v>
      </x:c>
      <x:c r="Q119" s="8" t="str">
        <x:v>BAIXADO_VALIDADO</x:v>
      </x:c>
      <x:c r="R119" s="8" t="str">
        <x:v>PREGAO_2025</x:v>
      </x:c>
      <x:c r="S119" s="8" t="str">
        <x:v>Categoria separada da agricultura familiar. Não importar no módulo de chamadas públicas.</x:v>
      </x:c>
      <x:c r="T119" s="8" t="str"/>
    </x:row>
    <x:row r="120" ht="84" customHeight="1">
      <x:c r="A120" s="8" t="str">
        <x:v>ED-0116</x:v>
      </x:c>
      <x:c r="B120" s="8" t="str">
        <x:v>Metropolitana</x:v>
      </x:c>
      <x:c r="C120" s="8" t="str">
        <x:v>Acorizal</x:v>
      </x:c>
      <x:c r="D120" s="8"/>
      <x:c r="E120" s="8"/>
      <x:c r="F120" s="8" t="str">
        <x:v>013/2024</x:v>
      </x:c>
      <x:c r="G120" s="8" t="n">
        <x:v>2024</x:v>
      </x:c>
      <x:c r="H120" s="8"/>
      <x:c r="I120" s="8" t="n">
        <x:v>2025</x:v>
      </x:c>
      <x:c r="J120" s="8" t="str">
        <x:v>Aquisição de gêneros alimentícios para alimentação escolar</x:v>
      </x:c>
      <x:c r="K120" s="8" t="str">
        <x:v>Pregão</x:v>
      </x:c>
      <x:c r="L120" s="15"/>
      <x:c r="M120" s="8"/>
      <x:c r="N120" s="8" t="str">
        <x:v>https://www.dmetropolitana.org/pregao-2025</x:v>
      </x:c>
      <x:c r="O120" s="8" t="str">
        <x:v>https://www.dmetropolitana.org/_files/ugd/2004f4_3c327a18a5fc41f89b2df665bfad91f9.pdf</x:v>
      </x:c>
      <x:c r="P120" s="8" t="str">
        <x:v>PNAE_MT_2025/08_METROPOLITANA/DOC-0126_2004f4_3c327a18a5fc41f89b2df665bfad91f9.pdf</x:v>
      </x:c>
      <x:c r="Q120" s="8" t="str">
        <x:v>BAIXADO_VALIDADO</x:v>
      </x:c>
      <x:c r="R120" s="8" t="str">
        <x:v>PREGAO_2025</x:v>
      </x:c>
      <x:c r="S120" s="8" t="str">
        <x:v>Categoria separada da agricultura familiar. Não importar no módulo de chamadas públicas.</x:v>
      </x:c>
      <x:c r="T120" s="8" t="str"/>
    </x:row>
    <x:row r="121" ht="84" customHeight="1">
      <x:c r="A121" s="8" t="str">
        <x:v>ED-0117</x:v>
      </x:c>
      <x:c r="B121" s="8" t="str">
        <x:v>Metropolitana</x:v>
      </x:c>
      <x:c r="C121" s="8" t="str">
        <x:v>Barão de Melgaço</x:v>
      </x:c>
      <x:c r="D121" s="8"/>
      <x:c r="E121" s="8"/>
      <x:c r="F121" s="8" t="str">
        <x:v>014/2024</x:v>
      </x:c>
      <x:c r="G121" s="8" t="n">
        <x:v>2024</x:v>
      </x:c>
      <x:c r="H121" s="8"/>
      <x:c r="I121" s="8" t="n">
        <x:v>2025</x:v>
      </x:c>
      <x:c r="J121" s="8" t="str">
        <x:v>Aquisição de gêneros alimentícios para alimentação escolar</x:v>
      </x:c>
      <x:c r="K121" s="8" t="str">
        <x:v>Pregão</x:v>
      </x:c>
      <x:c r="L121" s="15"/>
      <x:c r="M121" s="8"/>
      <x:c r="N121" s="8" t="str">
        <x:v>https://www.dmetropolitana.org/pregao-2025</x:v>
      </x:c>
      <x:c r="O121" s="8" t="str">
        <x:v>https://www.dmetropolitana.org/_files/ugd/2004f4_0c038f727d3b419d8213275738c38c2c.pdf</x:v>
      </x:c>
      <x:c r="P121" s="8" t="str">
        <x:v>PNAE_MT_2025/08_METROPOLITANA/DOC-0127_2004f4_0c038f727d3b419d8213275738c38c2c.pdf</x:v>
      </x:c>
      <x:c r="Q121" s="8" t="str">
        <x:v>BAIXADO_VALIDADO</x:v>
      </x:c>
      <x:c r="R121" s="8" t="str">
        <x:v>PREGAO_2025</x:v>
      </x:c>
      <x:c r="S121" s="8" t="str">
        <x:v>Categoria separada da agricultura familiar. Não importar no módulo de chamadas públicas.</x:v>
      </x:c>
      <x:c r="T121" s="8" t="str"/>
    </x:row>
    <x:row r="122" ht="84" customHeight="1">
      <x:c r="A122" s="8" t="str">
        <x:v>ED-0118</x:v>
      </x:c>
      <x:c r="B122" s="8" t="str">
        <x:v>Metropolitana</x:v>
      </x:c>
      <x:c r="C122" s="8" t="str">
        <x:v>Chapada dos Guimarães</x:v>
      </x:c>
      <x:c r="D122" s="8"/>
      <x:c r="E122" s="8"/>
      <x:c r="F122" s="8" t="str">
        <x:v>015/2024</x:v>
      </x:c>
      <x:c r="G122" s="8" t="n">
        <x:v>2024</x:v>
      </x:c>
      <x:c r="H122" s="8"/>
      <x:c r="I122" s="8" t="n">
        <x:v>2025</x:v>
      </x:c>
      <x:c r="J122" s="8" t="str">
        <x:v>Aquisição de gêneros alimentícios para alimentação escolar</x:v>
      </x:c>
      <x:c r="K122" s="8" t="str">
        <x:v>Pregão</x:v>
      </x:c>
      <x:c r="L122" s="15"/>
      <x:c r="M122" s="8"/>
      <x:c r="N122" s="8" t="str">
        <x:v>https://www.dmetropolitana.org/pregao-2025</x:v>
      </x:c>
      <x:c r="O122" s="8" t="str">
        <x:v>https://www.dmetropolitana.org/_files/ugd/2004f4_ee4640c9dee7474fafbf9b9e6778221a.pdf</x:v>
      </x:c>
      <x:c r="P122" s="8" t="str">
        <x:v>PNAE_MT_2025/08_METROPOLITANA/DOC-0128_2004f4_ee4640c9dee7474fafbf9b9e6778221a.pdf</x:v>
      </x:c>
      <x:c r="Q122" s="8" t="str">
        <x:v>BAIXADO_VALIDADO</x:v>
      </x:c>
      <x:c r="R122" s="8" t="str">
        <x:v>PREGAO_2025</x:v>
      </x:c>
      <x:c r="S122" s="8" t="str">
        <x:v>Categoria separada da agricultura familiar. Não importar no módulo de chamadas públicas.</x:v>
      </x:c>
      <x:c r="T122" s="8" t="str"/>
    </x:row>
    <x:row r="123" ht="84" customHeight="1">
      <x:c r="A123" s="8" t="str">
        <x:v>ED-0119</x:v>
      </x:c>
      <x:c r="B123" s="8" t="str">
        <x:v>Metropolitana</x:v>
      </x:c>
      <x:c r="C123" s="8" t="str">
        <x:v>Planalto da Serra</x:v>
      </x:c>
      <x:c r="D123" s="8"/>
      <x:c r="E123" s="8"/>
      <x:c r="F123" s="8" t="str">
        <x:v>016/2024</x:v>
      </x:c>
      <x:c r="G123" s="8" t="n">
        <x:v>2024</x:v>
      </x:c>
      <x:c r="H123" s="8"/>
      <x:c r="I123" s="8" t="n">
        <x:v>2025</x:v>
      </x:c>
      <x:c r="J123" s="8" t="str">
        <x:v>Aquisição de gêneros alimentícios para alimentação escolar</x:v>
      </x:c>
      <x:c r="K123" s="8" t="str">
        <x:v>Pregão</x:v>
      </x:c>
      <x:c r="L123" s="15"/>
      <x:c r="M123" s="8"/>
      <x:c r="N123" s="8" t="str">
        <x:v>https://www.dmetropolitana.org/pregao-2025</x:v>
      </x:c>
      <x:c r="O123" s="8" t="str">
        <x:v>https://www.dmetropolitana.org/_files/ugd/2004f4_32158461ac7442b09680f673b655e0c5.pdf</x:v>
      </x:c>
      <x:c r="P123" s="8" t="str">
        <x:v>PNAE_MT_2025/08_METROPOLITANA/DOC-0129_2004f4_32158461ac7442b09680f673b655e0c5.pdf</x:v>
      </x:c>
      <x:c r="Q123" s="8" t="str">
        <x:v>BAIXADO_VALIDADO</x:v>
      </x:c>
      <x:c r="R123" s="8" t="str">
        <x:v>PREGAO_2025</x:v>
      </x:c>
      <x:c r="S123" s="8" t="str">
        <x:v>Categoria separada da agricultura familiar. Não importar no módulo de chamadas públicas.</x:v>
      </x:c>
      <x:c r="T123" s="8" t="str"/>
    </x:row>
    <x:row r="124" ht="84" customHeight="1">
      <x:c r="A124" s="8" t="str">
        <x:v>ED-0120</x:v>
      </x:c>
      <x:c r="B124" s="8" t="str">
        <x:v>Metropolitana</x:v>
      </x:c>
      <x:c r="C124" s="8" t="str">
        <x:v>Nova Brasilândia</x:v>
      </x:c>
      <x:c r="D124" s="8"/>
      <x:c r="E124" s="8"/>
      <x:c r="F124" s="8" t="str">
        <x:v>017/2024</x:v>
      </x:c>
      <x:c r="G124" s="8" t="n">
        <x:v>2024</x:v>
      </x:c>
      <x:c r="H124" s="8"/>
      <x:c r="I124" s="8" t="n">
        <x:v>2025</x:v>
      </x:c>
      <x:c r="J124" s="8" t="str">
        <x:v>Aquisição de gêneros alimentícios para alimentação escolar</x:v>
      </x:c>
      <x:c r="K124" s="8" t="str">
        <x:v>Pregão</x:v>
      </x:c>
      <x:c r="L124" s="15"/>
      <x:c r="M124" s="8"/>
      <x:c r="N124" s="8" t="str">
        <x:v>https://www.dmetropolitana.org/pregao-2025</x:v>
      </x:c>
      <x:c r="O124" s="8" t="str">
        <x:v>https://www.dmetropolitana.org/_files/ugd/2004f4_34e70caf91d04da28c0b0e2a68144bc3.pdf</x:v>
      </x:c>
      <x:c r="P124" s="8" t="str">
        <x:v>PNAE_MT_2025/08_METROPOLITANA/DOC-0130_2004f4_34e70caf91d04da28c0b0e2a68144bc3.pdf</x:v>
      </x:c>
      <x:c r="Q124" s="8" t="str">
        <x:v>BAIXADO_VALIDADO</x:v>
      </x:c>
      <x:c r="R124" s="8" t="str">
        <x:v>PREGAO_2025</x:v>
      </x:c>
      <x:c r="S124" s="8" t="str">
        <x:v>Categoria separada da agricultura familiar. Não importar no módulo de chamadas públicas.</x:v>
      </x:c>
      <x:c r="T124" s="8" t="str"/>
    </x:row>
    <x:row r="125" ht="84" customHeight="1">
      <x:c r="A125" s="8" t="str">
        <x:v>ED-0121</x:v>
      </x:c>
      <x:c r="B125" s="8" t="str">
        <x:v>Pontes e Lacerda</x:v>
      </x:c>
      <x:c r="C125" s="8" t="str">
        <x:v>Pontes e Lacerda</x:v>
      </x:c>
      <x:c r="D125" s="8"/>
      <x:c r="E125" s="8"/>
      <x:c r="F125" s="8" t="str">
        <x:v>014/2024</x:v>
      </x:c>
      <x:c r="G125" s="8" t="n">
        <x:v>2024</x:v>
      </x:c>
      <x:c r="H125" s="8"/>
      <x:c r="I125" s="8" t="n">
        <x:v>2025</x:v>
      </x:c>
      <x:c r="J125" s="8" t="str">
        <x:v>Aquisição de gêneros alimentícios para alimentação escolar da agricultura familiar</x:v>
      </x:c>
      <x:c r="K125" s="8" t="str">
        <x:v>Chamada pública</x:v>
      </x:c>
      <x:c r="L125" s="15"/>
      <x:c r="M125" s="8" t="str">
        <x:v>Histórico localizado; situação administrativa não inferida</x:v>
      </x:c>
      <x:c r="N125" s="8" t="str">
        <x:v>https://dreponteselacerda.com.br/site/edital.php</x:v>
      </x:c>
      <x:c r="O125" s="8" t="str">
        <x:v>https://dreponteselacerda.com.br/site/edital-downloadPDF.php?ideditais=113</x:v>
      </x:c>
      <x:c r="P125" s="8" t="str">
        <x:v>PNAE_MT_2025/09_PONTES_E_LACERDA/DOC-0131_edital-downloadPDF.php.pdf</x:v>
      </x:c>
      <x:c r="Q125" s="8" t="str">
        <x:v>BAIXADO_VALIDADO</x:v>
      </x:c>
      <x:c r="R125" s="8" t="str">
        <x:v>ELEGIVEL_2025</x:v>
      </x:c>
      <x:c r="S125" s="8" t="str">
        <x:v>Ano letivo de 2025 confirmado no PDF; dados extraídos sujeitos à conferência administrativa.</x:v>
      </x:c>
      <x:c r="T125" s="8" t="str">
        <x:v>Escopo territorial preservado. CNPJ da DRE não substitui CNPJ da escola/CDCE.</x:v>
      </x:c>
    </x:row>
    <x:row r="126" ht="84" customHeight="1">
      <x:c r="A126" s="8" t="str">
        <x:v>ED-0122</x:v>
      </x:c>
      <x:c r="B126" s="8" t="str">
        <x:v>Confresa</x:v>
      </x:c>
      <x:c r="C126" s="8" t="str">
        <x:v>Canabrava do Norte</x:v>
      </x:c>
      <x:c r="D126" s="8"/>
      <x:c r="E126" s="8"/>
      <x:c r="F126" s="8" t="str">
        <x:v>018/2024</x:v>
      </x:c>
      <x:c r="G126" s="8" t="n">
        <x:v>2024</x:v>
      </x:c>
      <x:c r="H126" s="8"/>
      <x:c r="I126" s="8"/>
      <x:c r="J126" s="8" t="str">
        <x:v>Aquisição de gêneros alimentícios para alimentação escolar da agricultura familiar</x:v>
      </x:c>
      <x:c r="K126" s="8" t="str">
        <x:v>Chamada pública</x:v>
      </x:c>
      <x:c r="L126" s="15"/>
      <x:c r="M126" s="8"/>
      <x:c r="N126" s="8" t="str">
        <x:v>https://www.iomat.mt.gov.br/legislacao/diario_oficial/detalhes/873816</x:v>
      </x:c>
      <x:c r="O126" s="8" t="str">
        <x:v>https://www.iomat.mt.gov.br/legislacao/diario_oficial/download/873816</x:v>
      </x:c>
      <x:c r="P126" s="8" t="str">
        <x:v>PNAE_MT_2025/04_CONFRESA/DOC-0132_873816.pdf</x:v>
      </x:c>
      <x:c r="Q126" s="8" t="str">
        <x:v>BAIXADO_VALIDADO</x:v>
      </x:c>
      <x:c r="R126" s="8" t="str">
        <x:v>REFERENCIA_HISTORICA</x:v>
      </x:c>
      <x:c r="S126" s="8" t="str">
        <x:v>Extrato de contrato publicado em 2025. Comprova referência ao procedimento, mas não substitui edital nem prova sozinho o exercício de atendimento.</x:v>
      </x:c>
      <x:c r="T126" s="8" t="str"/>
    </x:row>
    <x:row r="127" ht="84" customHeight="1">
      <x:c r="A127" s="8" t="str">
        <x:v>ED-0123</x:v>
      </x:c>
      <x:c r="B127" s="8" t="str">
        <x:v>Barra do Garças</x:v>
      </x:c>
      <x:c r="C127" s="8" t="str">
        <x:v>Água Boa</x:v>
      </x:c>
      <x:c r="D127" s="8"/>
      <x:c r="E127" s="8"/>
      <x:c r="F127" s="8" t="str">
        <x:v>004/2025</x:v>
      </x:c>
      <x:c r="G127" s="8" t="n">
        <x:v>2025</x:v>
      </x:c>
      <x:c r="H127" s="8"/>
      <x:c r="I127" s="8"/>
      <x:c r="J127" s="8" t="str">
        <x:v>Aquisição de gêneros alimentícios para alimentação escolar da agricultura familiar</x:v>
      </x:c>
      <x:c r="K127" s="8" t="str">
        <x:v>Chamada pública</x:v>
      </x:c>
      <x:c r="L127" s="15"/>
      <x:c r="M127" s="8"/>
      <x:c r="N127" s="8" t="str">
        <x:v>https://www.iomat.mt.gov.br/legislacao/diario_oficial/detalhes/884194</x:v>
      </x:c>
      <x:c r="O127" s="8" t="str">
        <x:v>https://www.iomat.mt.gov.br/legislacao/diario_oficial/download/884194</x:v>
      </x:c>
      <x:c r="P127" s="8" t="str">
        <x:v>PNAE_MT_2025/02_BARRA_DO_GARCAS/DOC-0133_884194.pdf</x:v>
      </x:c>
      <x:c r="Q127" s="8" t="str">
        <x:v>BAIXADO_VALIDADO</x:v>
      </x:c>
      <x:c r="R127" s="8" t="str">
        <x:v>REFERENCIA_HISTORICA</x:v>
      </x:c>
      <x:c r="S127" s="8" t="str">
        <x:v>Extrato de contrato publicado em 2025. Comprova referência ao procedimento, mas não substitui edital nem prova sozinho o exercício de atendimento.</x:v>
      </x:c>
      <x:c r="T127" s="8" t="str"/>
    </x:row>
    <x:row r="128" ht="84" customHeight="1">
      <x:c r="A128" s="8" t="str">
        <x:v>ED-0124</x:v>
      </x:c>
      <x:c r="B128" s="8" t="str">
        <x:v>Rondonópolis</x:v>
      </x:c>
      <x:c r="C128" s="8" t="str">
        <x:v>Rondonópolis</x:v>
      </x:c>
      <x:c r="D128" s="8"/>
      <x:c r="E128" s="8"/>
      <x:c r="F128" s="8" t="str">
        <x:v>024/2024</x:v>
      </x:c>
      <x:c r="G128" s="8" t="n">
        <x:v>2024</x:v>
      </x:c>
      <x:c r="H128" s="8"/>
      <x:c r="I128" s="8"/>
      <x:c r="J128" s="8" t="str">
        <x:v>Aquisição de gêneros alimentícios para alimentação escolar da agricultura familiar</x:v>
      </x:c>
      <x:c r="K128" s="8" t="str">
        <x:v>Chamada pública</x:v>
      </x:c>
      <x:c r="L128" s="15"/>
      <x:c r="M128" s="8"/>
      <x:c r="N128" s="8" t="str">
        <x:v>https://www.iomat.mt.gov.br/legislacao/diario_oficial/detalhes/902650</x:v>
      </x:c>
      <x:c r="O128" s="8" t="str">
        <x:v>https://www.iomat.mt.gov.br/legislacao/diario_oficial/download/902650</x:v>
      </x:c>
      <x:c r="P128" s="8" t="str">
        <x:v>PNAE_MT_2025/11_RONDONOPOLIS/DOC-0134_902650.pdf</x:v>
      </x:c>
      <x:c r="Q128" s="8" t="str">
        <x:v>BAIXADO_VALIDADO</x:v>
      </x:c>
      <x:c r="R128" s="8" t="str">
        <x:v>REFERENCIA_HISTORICA</x:v>
      </x:c>
      <x:c r="S128" s="8" t="str">
        <x:v>Extrato de contrato publicado em 2025. Comprova referência ao procedimento, mas não substitui edital nem prova sozinho o exercício de atendimento.</x:v>
      </x:c>
      <x:c r="T128" s="8" t="str"/>
    </x:row>
    <x:row r="129" ht="84" customHeight="1">
      <x:c r="A129" s="8" t="str">
        <x:v>ED-0125</x:v>
      </x:c>
      <x:c r="B129" s="8" t="str">
        <x:v>Matupá</x:v>
      </x:c>
      <x:c r="C129" s="8" t="str">
        <x:v>Matupá</x:v>
      </x:c>
      <x:c r="D129" s="8"/>
      <x:c r="E129" s="8"/>
      <x:c r="F129" s="8" t="str">
        <x:v>001/2025</x:v>
      </x:c>
      <x:c r="G129" s="8" t="n">
        <x:v>2025</x:v>
      </x:c>
      <x:c r="H129" s="8"/>
      <x:c r="I129" s="8"/>
      <x:c r="J129" s="8" t="str">
        <x:v>Aquisição de gêneros alimentícios para alimentação escolar da agricultura familiar</x:v>
      </x:c>
      <x:c r="K129" s="8" t="str">
        <x:v>Chamada pública</x:v>
      </x:c>
      <x:c r="L129" s="15"/>
      <x:c r="M129" s="8"/>
      <x:c r="N129" s="8" t="str">
        <x:v>https://www.iomat.mt.gov.br/legislacao/diario_oficial/detalhes/885190</x:v>
      </x:c>
      <x:c r="O129" s="8" t="str">
        <x:v>https://www.iomat.mt.gov.br/legislacao/diario_oficial/download/885190</x:v>
      </x:c>
      <x:c r="P129" s="8" t="str">
        <x:v>PNAE_MT_2025/07_MATUPA/DOC-0135_885190.pdf</x:v>
      </x:c>
      <x:c r="Q129" s="8" t="str">
        <x:v>BAIXADO_VALIDADO</x:v>
      </x:c>
      <x:c r="R129" s="8" t="str">
        <x:v>REFERENCIA_HISTORICA</x:v>
      </x:c>
      <x:c r="S129" s="8" t="str">
        <x:v>Extrato de contrato publicado em 2025. Comprova referência ao procedimento, mas não substitui edital nem prova sozinho o exercício de atendimento.</x:v>
      </x:c>
      <x:c r="T129" s="8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24696107e384e0b"/>
  </x:tableParts>
</x:worksheet>
</file>

<file path=xl/worksheets/sheet4.xml><?xml version="1.0" encoding="utf-8"?>
<x:worksheet xmlns:x="http://schemas.openxmlformats.org/spreadsheetml/2006/main">
  <x:sheetPr>
    <x:tabColor rgb="FF176B6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  <x:col min="7" max="7" width="24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48" hidden="0" customWidth="1"/>
    <x:col min="13" max="13" width="24" hidden="0" customWidth="1"/>
    <x:col min="14" max="14" width="48" hidden="0" customWidth="1"/>
  </x:cols>
  <x:sheetData>
    <x:row r="1" ht="34" customHeight="1">
      <x:c r="A1" s="2" t="str">
        <x:v>Arquivos e rastreabilidade</x:v>
      </x:c>
      <x:c r="B1" s="2"/>
      <x:c r="C1" s="2"/>
      <x:c r="D1" s="2"/>
      <x:c r="E1" s="2"/>
      <x:c r="F1" s="2"/>
    </x:row>
    <x:row r="2" ht="44" customHeight="1">
      <x:c r="A2" s="5" t="str">
        <x:v>Uma linha por URL de arquivo; hashes iguais são duplicados binários. Avisos e extratos não substituem o edital completo.</x:v>
      </x:c>
      <x:c r="B2" s="5"/>
      <x:c r="C2" s="5"/>
      <x:c r="D2" s="5"/>
      <x:c r="E2" s="5"/>
      <x:c r="F2" s="5"/>
    </x:row>
    <x:row r="4" ht="48" customHeight="1">
      <x:c r="A4" s="10" t="str">
        <x:v>ID do documento</x:v>
      </x:c>
      <x:c r="B4" s="10" t="str">
        <x:v>ID do edital</x:v>
      </x:c>
      <x:c r="C4" s="10" t="str">
        <x:v>DRE</x:v>
      </x:c>
      <x:c r="D4" s="10" t="str">
        <x:v>Tipo do documento</x:v>
      </x:c>
      <x:c r="E4" s="10" t="str">
        <x:v>Nome original / nome estável</x:v>
      </x:c>
      <x:c r="F4" s="10" t="str">
        <x:v>URL direta</x:v>
      </x:c>
      <x:c r="G4" s="10" t="str">
        <x:v>Formato</x:v>
      </x:c>
      <x:c r="H4" s="10" t="str">
        <x:v>Páginas</x:v>
      </x:c>
      <x:c r="I4" s="10" t="str">
        <x:v>SHA-256</x:v>
      </x:c>
      <x:c r="J4" s="10" t="str">
        <x:v>Data do download</x:v>
      </x:c>
      <x:c r="K4" s="10" t="str">
        <x:v>Status</x:v>
      </x:c>
      <x:c r="L4" s="10" t="str">
        <x:v>Arquivo local</x:v>
      </x:c>
      <x:c r="M4" s="10" t="str">
        <x:v>Duplicado de</x:v>
      </x:c>
      <x:c r="N4" s="10" t="str">
        <x:v>Observações</x:v>
      </x:c>
    </x:row>
    <x:row r="5" ht="84" customHeight="1">
      <x:c r="A5" s="8" t="str">
        <x:v>DOC-0001</x:v>
      </x:c>
      <x:c r="B5" s="8" t="str">
        <x:v>ED-0001</x:v>
      </x:c>
      <x:c r="C5" s="8" t="str">
        <x:v>Diamantino</x:v>
      </x:c>
      <x:c r="D5" s="8" t="str">
        <x:v>Edital</x:v>
      </x:c>
      <x:c r="E5" s="8" t="str">
        <x:v>DOC-0001.pdf</x:v>
      </x:c>
      <x:c r="F5" s="8" t="str">
        <x:v>https://drive.google.com/file/d/1c78ZFNNYoccuvL0jU8rWp_R_xz1xMS4Z/view?usp=drivesdk</x:v>
      </x:c>
      <x:c r="G5" s="8" t="str">
        <x:v>PDF</x:v>
      </x:c>
      <x:c r="H5" s="8" t="n">
        <x:v>52</x:v>
      </x:c>
      <x:c r="I5" s="8" t="str">
        <x:v>36fc7bd46c53ab4012b7b287ada26d1cacf2e6aab10fe5705a0aa83e7f7319db</x:v>
      </x:c>
      <x:c r="J5" s="12" t="d">
        <x:v>2026-10-12T12:00:00.000Z</x:v>
      </x:c>
      <x:c r="K5" s="8" t="str">
        <x:v>BAIXADO_VALIDADO</x:v>
      </x:c>
      <x:c r="L5" s="8" t="str">
        <x:v>PNAE_MT_2025/05_DIAMANTINO/DOC-0001_DOC-0001.pdf</x:v>
      </x:c>
      <x:c r="M5" s="8"/>
      <x:c r="N5" s="8" t="str">
        <x:v>Ano letivo de 2025 confirmado no PDF; dados extraídos sujeitos à conferência administrativa.</x:v>
      </x:c>
    </x:row>
    <x:row r="6" ht="84" customHeight="1">
      <x:c r="A6" s="8" t="str">
        <x:v>DOC-0002</x:v>
      </x:c>
      <x:c r="B6" s="8" t="str">
        <x:v>ED-0002</x:v>
      </x:c>
      <x:c r="C6" s="8" t="str">
        <x:v>Diamantino</x:v>
      </x:c>
      <x:c r="D6" s="8" t="str">
        <x:v>Edital</x:v>
      </x:c>
      <x:c r="E6" s="8" t="str">
        <x:v>DOC-0002.pdf</x:v>
      </x:c>
      <x:c r="F6" s="8" t="str">
        <x:v>https://drive.google.com/file/d/1zCzXCy_6UQ-wp3fF82YbY2eXyOdWj-LR/view?usp=drivesdk</x:v>
      </x:c>
      <x:c r="G6" s="8" t="str">
        <x:v>PDF</x:v>
      </x:c>
      <x:c r="H6" s="8" t="n">
        <x:v>55</x:v>
      </x:c>
      <x:c r="I6" s="8" t="str">
        <x:v>233b2234e647f3dd94f95a61692e56602fba235f4ca11fc26be738b21647dd1e</x:v>
      </x:c>
      <x:c r="J6" s="12" t="d">
        <x:v>2026-10-12T12:00:00.000Z</x:v>
      </x:c>
      <x:c r="K6" s="8" t="str">
        <x:v>BAIXADO_VALIDADO</x:v>
      </x:c>
      <x:c r="L6" s="8" t="str">
        <x:v>PNAE_MT_2025/05_DIAMANTINO/DOC-0002_DOC-0002.pdf</x:v>
      </x:c>
      <x:c r="M6" s="8"/>
      <x:c r="N6" s="8" t="str">
        <x:v>Ano letivo de 2025 confirmado no PDF; dados extraídos sujeitos à conferência administrativa.</x:v>
      </x:c>
    </x:row>
    <x:row r="7" ht="84" customHeight="1">
      <x:c r="A7" s="8" t="str">
        <x:v>DOC-0003</x:v>
      </x:c>
      <x:c r="B7" s="8" t="str">
        <x:v>ED-0003</x:v>
      </x:c>
      <x:c r="C7" s="8" t="str">
        <x:v>Diamantino</x:v>
      </x:c>
      <x:c r="D7" s="8" t="str">
        <x:v>Edital</x:v>
      </x:c>
      <x:c r="E7" s="8" t="str">
        <x:v>DOC-0003.pdf</x:v>
      </x:c>
      <x:c r="F7" s="8" t="str">
        <x:v>https://drive.google.com/file/d/1fCfEBhm8epesXks5VK9fFLLFTKhYCGWF/view?usp=drivesdk</x:v>
      </x:c>
      <x:c r="G7" s="8" t="str">
        <x:v>PDF</x:v>
      </x:c>
      <x:c r="H7" s="8" t="n">
        <x:v>52</x:v>
      </x:c>
      <x:c r="I7" s="8" t="str">
        <x:v>d2173033704b06f61407f183b076ce7d759aa4eedab4f61c94b995d829f94189</x:v>
      </x:c>
      <x:c r="J7" s="12" t="d">
        <x:v>2026-10-12T12:00:00.000Z</x:v>
      </x:c>
      <x:c r="K7" s="8" t="str">
        <x:v>BAIXADO_VALIDADO</x:v>
      </x:c>
      <x:c r="L7" s="8" t="str">
        <x:v>PNAE_MT_2025/05_DIAMANTINO/DOC-0003_DOC-0003.pdf</x:v>
      </x:c>
      <x:c r="M7" s="8"/>
      <x:c r="N7" s="8" t="str">
        <x:v>Ano letivo de 2025 confirmado no PDF; dados extraídos sujeitos à conferência administrativa.</x:v>
      </x:c>
    </x:row>
    <x:row r="8" ht="84" customHeight="1">
      <x:c r="A8" s="8" t="str">
        <x:v>DOC-0004</x:v>
      </x:c>
      <x:c r="B8" s="8" t="str">
        <x:v>ED-0004</x:v>
      </x:c>
      <x:c r="C8" s="8" t="str">
        <x:v>Diamantino</x:v>
      </x:c>
      <x:c r="D8" s="8" t="str">
        <x:v>Edital</x:v>
      </x:c>
      <x:c r="E8" s="8" t="str">
        <x:v>DOC-0004.pdf</x:v>
      </x:c>
      <x:c r="F8" s="8" t="str">
        <x:v>https://drive.google.com/file/d/1C0P8--EuzFhoFNhYrgXsDBxoLLu1n0d9/view?usp=drivesdk</x:v>
      </x:c>
      <x:c r="G8" s="8" t="str">
        <x:v>PDF</x:v>
      </x:c>
      <x:c r="H8" s="8" t="n">
        <x:v>49</x:v>
      </x:c>
      <x:c r="I8" s="8" t="str">
        <x:v>14af5f5ac60ae02a81154723a757623e02a36d47ceffaeccd23bab31d89f78e7</x:v>
      </x:c>
      <x:c r="J8" s="12" t="d">
        <x:v>2026-10-12T12:00:00.000Z</x:v>
      </x:c>
      <x:c r="K8" s="8" t="str">
        <x:v>BAIXADO_VALIDADO</x:v>
      </x:c>
      <x:c r="L8" s="8" t="str">
        <x:v>PNAE_MT_2025/05_DIAMANTINO/DOC-0004_DOC-0004.pdf</x:v>
      </x:c>
      <x:c r="M8" s="8"/>
      <x:c r="N8" s="8" t="str">
        <x:v>Ano letivo de 2025 confirmado no PDF; dados extraídos sujeitos à conferência administrativa.</x:v>
      </x:c>
    </x:row>
    <x:row r="9" ht="84" customHeight="1">
      <x:c r="A9" s="8" t="str">
        <x:v>DOC-0005</x:v>
      </x:c>
      <x:c r="B9" s="8" t="str">
        <x:v>ED-0005</x:v>
      </x:c>
      <x:c r="C9" s="8" t="str">
        <x:v>Diamantino</x:v>
      </x:c>
      <x:c r="D9" s="8" t="str">
        <x:v>Edital</x:v>
      </x:c>
      <x:c r="E9" s="8" t="str">
        <x:v>DOC-0005.pdf</x:v>
      </x:c>
      <x:c r="F9" s="8" t="str">
        <x:v>https://drive.google.com/file/d/1tTAVdECBY5ZvvdzVyxeay_bBqctcchwf/view?usp=drivesdk</x:v>
      </x:c>
      <x:c r="G9" s="8" t="str">
        <x:v>PDF</x:v>
      </x:c>
      <x:c r="H9" s="8" t="n">
        <x:v>49</x:v>
      </x:c>
      <x:c r="I9" s="8" t="str">
        <x:v>da6449cbfd5a1dfc459111b12e6b6b090eca35c8a31da7a240e52bcc524e5e9c</x:v>
      </x:c>
      <x:c r="J9" s="12" t="d">
        <x:v>2026-10-12T12:00:00.000Z</x:v>
      </x:c>
      <x:c r="K9" s="8" t="str">
        <x:v>BAIXADO_VALIDADO</x:v>
      </x:c>
      <x:c r="L9" s="8" t="str">
        <x:v>PNAE_MT_2025/05_DIAMANTINO/DOC-0005_DOC-0005.pdf</x:v>
      </x:c>
      <x:c r="M9" s="8"/>
      <x:c r="N9" s="8" t="str">
        <x:v>Ano letivo de 2025 confirmado no PDF; dados extraídos sujeitos à conferência administrativa.</x:v>
      </x:c>
    </x:row>
    <x:row r="10" ht="84" customHeight="1">
      <x:c r="A10" s="8" t="str">
        <x:v>DOC-0006</x:v>
      </x:c>
      <x:c r="B10" s="8" t="str">
        <x:v>ED-0006</x:v>
      </x:c>
      <x:c r="C10" s="8" t="str">
        <x:v>Diamantino</x:v>
      </x:c>
      <x:c r="D10" s="8" t="str">
        <x:v>Edital</x:v>
      </x:c>
      <x:c r="E10" s="8" t="str">
        <x:v>DOC-0006.pdf</x:v>
      </x:c>
      <x:c r="F10" s="8" t="str">
        <x:v>https://drive.google.com/file/d/1jxuJW5kNzwha3Fi061AMXFEQlu_d-n41/view?usp=drivesdk</x:v>
      </x:c>
      <x:c r="G10" s="8" t="str">
        <x:v>PDF</x:v>
      </x:c>
      <x:c r="H10" s="8" t="n">
        <x:v>49</x:v>
      </x:c>
      <x:c r="I10" s="8" t="str">
        <x:v>6688938e5647fc8318935199990a3044db61c8d3a9dfbf55f60c0c7484f3656d</x:v>
      </x:c>
      <x:c r="J10" s="12" t="d">
        <x:v>2026-10-12T12:00:00.000Z</x:v>
      </x:c>
      <x:c r="K10" s="8" t="str">
        <x:v>BAIXADO_VALIDADO</x:v>
      </x:c>
      <x:c r="L10" s="8" t="str">
        <x:v>PNAE_MT_2025/05_DIAMANTINO/DOC-0006_DOC-0006.pdf</x:v>
      </x:c>
      <x:c r="M10" s="8"/>
      <x:c r="N10" s="8" t="str">
        <x:v>Ano letivo de 2025 confirmado no PDF; dados extraídos sujeitos à conferência administrativa.</x:v>
      </x:c>
    </x:row>
    <x:row r="11" ht="84" customHeight="1">
      <x:c r="A11" s="8" t="str">
        <x:v>DOC-0007</x:v>
      </x:c>
      <x:c r="B11" s="8" t="str">
        <x:v>ED-0007</x:v>
      </x:c>
      <x:c r="C11" s="8" t="str">
        <x:v>Diamantino</x:v>
      </x:c>
      <x:c r="D11" s="8" t="str">
        <x:v>Edital</x:v>
      </x:c>
      <x:c r="E11" s="8" t="str">
        <x:v>DOC-0007.pdf</x:v>
      </x:c>
      <x:c r="F11" s="8" t="str">
        <x:v>https://drive.google.com/file/d/10rhsdxf-aU1663wDNiq3zHTRxT23wPI0/view?usp=drivesdk</x:v>
      </x:c>
      <x:c r="G11" s="8" t="str">
        <x:v>PDF</x:v>
      </x:c>
      <x:c r="H11" s="8" t="n">
        <x:v>48</x:v>
      </x:c>
      <x:c r="I11" s="8" t="str">
        <x:v>1301ce85f28bb9ea23af3ddd55213ce6f2938177ad043753522b9fa550f4627a</x:v>
      </x:c>
      <x:c r="J11" s="12" t="d">
        <x:v>2026-10-12T12:00:00.000Z</x:v>
      </x:c>
      <x:c r="K11" s="8" t="str">
        <x:v>BAIXADO_VALIDADO</x:v>
      </x:c>
      <x:c r="L11" s="8" t="str">
        <x:v>PNAE_MT_2025/05_DIAMANTINO/DOC-0007_DOC-0007.pdf</x:v>
      </x:c>
      <x:c r="M11" s="8"/>
      <x:c r="N11" s="8" t="str">
        <x:v>Ano letivo de 2025 confirmado no PDF; dados extraídos sujeitos à conferência administrativa.</x:v>
      </x:c>
    </x:row>
    <x:row r="12" ht="84" customHeight="1">
      <x:c r="A12" s="8" t="str">
        <x:v>DOC-0008</x:v>
      </x:c>
      <x:c r="B12" s="8" t="str">
        <x:v>ED-0008</x:v>
      </x:c>
      <x:c r="C12" s="8" t="str">
        <x:v>Diamantino</x:v>
      </x:c>
      <x:c r="D12" s="8" t="str">
        <x:v>Edital</x:v>
      </x:c>
      <x:c r="E12" s="8" t="str">
        <x:v>DOC-0008.pdf</x:v>
      </x:c>
      <x:c r="F12" s="8" t="str">
        <x:v>https://drive.google.com/file/d/1DKNfN8WjoU90Qoe6Mc200hVpIrlpV9V8/view?usp=drivesdk</x:v>
      </x:c>
      <x:c r="G12" s="8" t="str">
        <x:v>PDF</x:v>
      </x:c>
      <x:c r="H12" s="8" t="n">
        <x:v>48</x:v>
      </x:c>
      <x:c r="I12" s="8" t="str">
        <x:v>b84d2f79ef3b7fe9947b9f26221bc6b39582c63aa60962d031391bc9edb4e862</x:v>
      </x:c>
      <x:c r="J12" s="12" t="d">
        <x:v>2026-10-12T12:00:00.000Z</x:v>
      </x:c>
      <x:c r="K12" s="8" t="str">
        <x:v>BAIXADO_VALIDADO</x:v>
      </x:c>
      <x:c r="L12" s="8" t="str">
        <x:v>PNAE_MT_2025/05_DIAMANTINO/DOC-0008_DOC-0008.pdf</x:v>
      </x:c>
      <x:c r="M12" s="8"/>
      <x:c r="N12" s="8" t="str">
        <x:v>Ano letivo de 2025 confirmado no PDF; dados extraídos sujeitos à conferência administrativa.</x:v>
      </x:c>
    </x:row>
    <x:row r="13" ht="84" customHeight="1">
      <x:c r="A13" s="8" t="str">
        <x:v>DOC-0009</x:v>
      </x:c>
      <x:c r="B13" s="8" t="str">
        <x:v>ED-0009</x:v>
      </x:c>
      <x:c r="C13" s="8" t="str">
        <x:v>Diamantino</x:v>
      </x:c>
      <x:c r="D13" s="8" t="str">
        <x:v>Edital</x:v>
      </x:c>
      <x:c r="E13" s="8" t="str">
        <x:v>DOC-0009.pdf</x:v>
      </x:c>
      <x:c r="F13" s="8" t="str">
        <x:v>https://drive.google.com/file/d/1l23MmDMY2xhil3ElaXwTmdVUTuyn7Nkz/view?usp=drivesdk</x:v>
      </x:c>
      <x:c r="G13" s="8" t="str">
        <x:v>PDF</x:v>
      </x:c>
      <x:c r="H13" s="8" t="n">
        <x:v>46</x:v>
      </x:c>
      <x:c r="I13" s="8" t="str">
        <x:v>61274e1aca16a7d166998e500da8aecfde5b5c273218fd0e7693f8b983c9ef9a</x:v>
      </x:c>
      <x:c r="J13" s="12" t="d">
        <x:v>2026-10-12T12:00:00.000Z</x:v>
      </x:c>
      <x:c r="K13" s="8" t="str">
        <x:v>BAIXADO_VALIDADO</x:v>
      </x:c>
      <x:c r="L13" s="8" t="str">
        <x:v>PNAE_MT_2025/05_DIAMANTINO/DOC-0009_DOC-0009.pdf</x:v>
      </x:c>
      <x:c r="M13" s="8"/>
      <x:c r="N13" s="8" t="str">
        <x:v>Ano letivo de 2025 confirmado no PDF; dados extraídos sujeitos à conferência administrativa.</x:v>
      </x:c>
    </x:row>
    <x:row r="14" ht="84" customHeight="1">
      <x:c r="A14" s="8" t="str">
        <x:v>DOC-0010</x:v>
      </x:c>
      <x:c r="B14" s="8" t="str">
        <x:v>ED-0010</x:v>
      </x:c>
      <x:c r="C14" s="8" t="str">
        <x:v>Diamantino</x:v>
      </x:c>
      <x:c r="D14" s="8" t="str">
        <x:v>Retificação</x:v>
      </x:c>
      <x:c r="E14" s="8" t="str">
        <x:v>DOC-0010.pdf</x:v>
      </x:c>
      <x:c r="F14" s="8" t="str">
        <x:v>https://drive.google.com/file/d/19CirP-lpUU2rFgsXRoXjuHz8riBBT2Z7/view?usp=sharing</x:v>
      </x:c>
      <x:c r="G14" s="8" t="str">
        <x:v>PDF</x:v>
      </x:c>
      <x:c r="H14" s="8" t="n">
        <x:v>49</x:v>
      </x:c>
      <x:c r="I14" s="8" t="str">
        <x:v>a0774d41a83df07b45f3756c368471a12c22cc4544fa624d914c220e74626ea0</x:v>
      </x:c>
      <x:c r="J14" s="12" t="d">
        <x:v>2026-10-12T12:00:00.000Z</x:v>
      </x:c>
      <x:c r="K14" s="8" t="str">
        <x:v>BAIXADO_VALIDADO</x:v>
      </x:c>
      <x:c r="L14" s="8" t="str">
        <x:v>PNAE_MT_2025/05_DIAMANTINO/DOC-0010_DOC-0010.pdf</x:v>
      </x:c>
      <x:c r="M14" s="8"/>
      <x:c r="N14" s="8" t="str">
        <x:v>Ano letivo de 2025 confirmado no PDF; dados extraídos sujeitos à conferência administrativa.</x:v>
      </x:c>
    </x:row>
    <x:row r="15" ht="84" customHeight="1">
      <x:c r="A15" s="8" t="str">
        <x:v>DOC-0011</x:v>
      </x:c>
      <x:c r="B15" s="8" t="str">
        <x:v>ED-0010</x:v>
      </x:c>
      <x:c r="C15" s="8" t="str">
        <x:v>Diamantino</x:v>
      </x:c>
      <x:c r="D15" s="8" t="str">
        <x:v>Retificação</x:v>
      </x:c>
      <x:c r="E15" s="8" t="str">
        <x:v>DOC-0011.pdf</x:v>
      </x:c>
      <x:c r="F15" s="8" t="str">
        <x:v>https://drive.google.com/file/d/1sK9unX8lNltPkCd7Saymwhyx0niIYyk1/view?usp=drivesdk</x:v>
      </x:c>
      <x:c r="G15" s="8" t="str">
        <x:v>PDF</x:v>
      </x:c>
      <x:c r="H15" s="8" t="n">
        <x:v>49</x:v>
      </x:c>
      <x:c r="I15" s="8" t="str">
        <x:v>3a846eb4175d4d30712e15819ddd22c40fde8b44df6dd51796b1121bff3b2182</x:v>
      </x:c>
      <x:c r="J15" s="12" t="d">
        <x:v>2026-10-12T12:00:00.000Z</x:v>
      </x:c>
      <x:c r="K15" s="8" t="str">
        <x:v>BAIXADO_VALIDADO</x:v>
      </x:c>
      <x:c r="L15" s="8" t="str">
        <x:v>PNAE_MT_2025/05_DIAMANTINO/DOC-0011_DOC-0011.pdf</x:v>
      </x:c>
      <x:c r="M15" s="8"/>
      <x:c r="N15" s="8" t="str">
        <x:v>Ano letivo de 2025 confirmado no PDF; dados extraídos sujeitos à conferência administrativa.</x:v>
      </x:c>
    </x:row>
    <x:row r="16" ht="84" customHeight="1">
      <x:c r="A16" s="8" t="str">
        <x:v>DOC-0012</x:v>
      </x:c>
      <x:c r="B16" s="8" t="str">
        <x:v>ED-0011</x:v>
      </x:c>
      <x:c r="C16" s="8" t="str">
        <x:v>Diamantino</x:v>
      </x:c>
      <x:c r="D16" s="8" t="str">
        <x:v>Edital</x:v>
      </x:c>
      <x:c r="E16" s="8" t="str">
        <x:v>DOC-0012.pdf</x:v>
      </x:c>
      <x:c r="F16" s="8" t="str">
        <x:v>https://drive.google.com/file/d/15Q4vZ2MBLMQnBSvxZYzipIfVArnTMOAs/view?usp=drivesdk</x:v>
      </x:c>
      <x:c r="G16" s="8" t="str">
        <x:v>PDF</x:v>
      </x:c>
      <x:c r="H16" s="8" t="n">
        <x:v>48</x:v>
      </x:c>
      <x:c r="I16" s="8" t="str">
        <x:v>c907f31ca15340543392c90cd9bb78cfecb305defeb3cdccfeec4feb23b9b932</x:v>
      </x:c>
      <x:c r="J16" s="12" t="d">
        <x:v>2026-10-12T12:00:00.000Z</x:v>
      </x:c>
      <x:c r="K16" s="8" t="str">
        <x:v>BAIXADO_VALIDADO</x:v>
      </x:c>
      <x:c r="L16" s="8" t="str">
        <x:v>PNAE_MT_2025/05_DIAMANTINO/DOC-0012_DOC-0012.pdf</x:v>
      </x:c>
      <x:c r="M16" s="8"/>
      <x:c r="N16" s="8" t="str">
        <x:v>Ano letivo de 2025 confirmado no PDF; dados extraídos sujeitos à conferência administrativa.</x:v>
      </x:c>
    </x:row>
    <x:row r="17" ht="84" customHeight="1">
      <x:c r="A17" s="8" t="str">
        <x:v>DOC-0013</x:v>
      </x:c>
      <x:c r="B17" s="8" t="str">
        <x:v>ED-0012</x:v>
      </x:c>
      <x:c r="C17" s="8" t="str">
        <x:v>Diamantino</x:v>
      </x:c>
      <x:c r="D17" s="8" t="str">
        <x:v>Edital</x:v>
      </x:c>
      <x:c r="E17" s="8" t="str">
        <x:v>DOC-0013.pdf</x:v>
      </x:c>
      <x:c r="F17" s="8" t="str">
        <x:v>https://drive.google.com/file/d/19yUaeovVMqUo_PZOOxBKKSoG74iSMpW5/view?usp=drivesdk</x:v>
      </x:c>
      <x:c r="G17" s="8" t="str">
        <x:v>PDF</x:v>
      </x:c>
      <x:c r="H17" s="8" t="n">
        <x:v>50</x:v>
      </x:c>
      <x:c r="I17" s="8" t="str">
        <x:v>e6cfd02cefffce60b09a71174d3237748d64ed360c6ace39e1b1c5d91d43f1a9</x:v>
      </x:c>
      <x:c r="J17" s="12" t="d">
        <x:v>2026-10-12T12:00:00.000Z</x:v>
      </x:c>
      <x:c r="K17" s="8" t="str">
        <x:v>BAIXADO_VALIDADO</x:v>
      </x:c>
      <x:c r="L17" s="8" t="str">
        <x:v>PNAE_MT_2025/05_DIAMANTINO/DOC-0013_DOC-0013.pdf</x:v>
      </x:c>
      <x:c r="M17" s="8"/>
      <x:c r="N17" s="8" t="str">
        <x:v>Ano letivo de 2025 confirmado no PDF; dados extraídos sujeitos à conferência administrativa.</x:v>
      </x:c>
    </x:row>
    <x:row r="18" ht="84" customHeight="1">
      <x:c r="A18" s="8" t="str">
        <x:v>DOC-0014</x:v>
      </x:c>
      <x:c r="B18" s="8" t="str">
        <x:v>ED-0013</x:v>
      </x:c>
      <x:c r="C18" s="8" t="str">
        <x:v>Diamantino</x:v>
      </x:c>
      <x:c r="D18" s="8" t="str">
        <x:v>Edital</x:v>
      </x:c>
      <x:c r="E18" s="8" t="str">
        <x:v>DOC-0014.pdf</x:v>
      </x:c>
      <x:c r="F18" s="8" t="str">
        <x:v>https://drive.google.com/file/d/1Zi9-sR8YW0YToVfPQb1pnEQeAk-xgPJA/view?usp=drivesdk</x:v>
      </x:c>
      <x:c r="G18" s="8" t="str">
        <x:v>PDF</x:v>
      </x:c>
      <x:c r="H18" s="8" t="n">
        <x:v>46</x:v>
      </x:c>
      <x:c r="I18" s="8" t="str">
        <x:v>cd0dfff0a6098a16a44dda3d44b3e0a8aa69733220d149d25bf05efdfcec9806</x:v>
      </x:c>
      <x:c r="J18" s="12" t="d">
        <x:v>2026-10-12T12:00:00.000Z</x:v>
      </x:c>
      <x:c r="K18" s="8" t="str">
        <x:v>BAIXADO_VALIDADO</x:v>
      </x:c>
      <x:c r="L18" s="8" t="str">
        <x:v>PNAE_MT_2025/05_DIAMANTINO/DOC-0014_DOC-0014.pdf</x:v>
      </x:c>
      <x:c r="M18" s="8"/>
      <x:c r="N18" s="8" t="str">
        <x:v>Ano letivo de 2025 confirmado no PDF; dados extraídos sujeitos à conferência administrativa.</x:v>
      </x:c>
    </x:row>
    <x:row r="19" ht="84" customHeight="1">
      <x:c r="A19" s="8" t="str">
        <x:v>DOC-0015</x:v>
      </x:c>
      <x:c r="B19" s="8" t="str">
        <x:v>ED-0014</x:v>
      </x:c>
      <x:c r="C19" s="8" t="str">
        <x:v>Diamantino</x:v>
      </x:c>
      <x:c r="D19" s="8" t="str">
        <x:v>Edital</x:v>
      </x:c>
      <x:c r="E19" s="8" t="str">
        <x:v>DOC-0015.pdf</x:v>
      </x:c>
      <x:c r="F19" s="8" t="str">
        <x:v>https://drive.google.com/file/d/1a5ZMBmaaMcymd9NyW_cxUh8axSsYgOZa/view?usp=drivesdk</x:v>
      </x:c>
      <x:c r="G19" s="8" t="str">
        <x:v>PDF</x:v>
      </x:c>
      <x:c r="H19" s="8" t="n">
        <x:v>49</x:v>
      </x:c>
      <x:c r="I19" s="8" t="str">
        <x:v>869f159fb1f3ec762bbc359fd984f7779529b48a250ce5b841888f4cd0c00569</x:v>
      </x:c>
      <x:c r="J19" s="12" t="d">
        <x:v>2026-10-12T12:00:00.000Z</x:v>
      </x:c>
      <x:c r="K19" s="8" t="str">
        <x:v>BAIXADO_VALIDADO</x:v>
      </x:c>
      <x:c r="L19" s="8" t="str">
        <x:v>PNAE_MT_2025/05_DIAMANTINO/DOC-0015_DOC-0015.pdf</x:v>
      </x:c>
      <x:c r="M19" s="8"/>
      <x:c r="N19" s="8" t="str">
        <x:v>Ano letivo de 2025 confirmado no PDF; dados extraídos sujeitos à conferência administrativa.</x:v>
      </x:c>
    </x:row>
    <x:row r="20" ht="84" customHeight="1">
      <x:c r="A20" s="8" t="str">
        <x:v>DOC-0016</x:v>
      </x:c>
      <x:c r="B20" s="8" t="str">
        <x:v>ED-0015</x:v>
      </x:c>
      <x:c r="C20" s="8" t="str">
        <x:v>Juína</x:v>
      </x:c>
      <x:c r="D20" s="8" t="str">
        <x:v>Edital</x:v>
      </x:c>
      <x:c r="E20" s="8" t="str">
        <x:v>castanheiraedital--chamada-pUblica-2025docx-PO0m.pdf</x:v>
      </x:c>
      <x:c r="F20" s="8" t="str">
        <x:v>https://www.drejuina.com.br/uploads/editais/castanheiraedital--chamada-pUblica-2025docx-PO0m.pdf</x:v>
      </x:c>
      <x:c r="G20" s="8" t="str">
        <x:v>PDF</x:v>
      </x:c>
      <x:c r="H20" s="8" t="n">
        <x:v>69</x:v>
      </x:c>
      <x:c r="I20" s="8" t="str">
        <x:v>5dee0ffc29892b8a578828478fa6641600815dd316d4f6ac4312399bd51087e3</x:v>
      </x:c>
      <x:c r="J20" s="12" t="d">
        <x:v>2026-10-12T12:00:00.000Z</x:v>
      </x:c>
      <x:c r="K20" s="8" t="str">
        <x:v>BAIXADO_VALIDADO</x:v>
      </x:c>
      <x:c r="L20" s="8" t="str">
        <x:v>PNAE_MT_2025/06_JUINA/DOC-0016_castanheiraedital--chamada-pUblica-2025docx-PO0m.pdf</x:v>
      </x:c>
      <x:c r="M20" s="8"/>
      <x:c r="N20" s="8" t="str">
        <x:v>Ano letivo de 2025 confirmado no PDF; dados extraídos sujeitos à conferência administrativa.</x:v>
      </x:c>
    </x:row>
    <x:row r="21" ht="84" customHeight="1">
      <x:c r="A21" s="8" t="str">
        <x:v>DOC-0017</x:v>
      </x:c>
      <x:c r="B21" s="8" t="str">
        <x:v>ED-0016</x:v>
      </x:c>
      <x:c r="C21" s="8" t="str">
        <x:v>Juína</x:v>
      </x:c>
      <x:c r="D21" s="8" t="str">
        <x:v>Edital</x:v>
      </x:c>
      <x:c r="E21" s="8" t="str">
        <x:v>brasnorteedital--chamada-pUblica-2025docx-ZQmt.pdf</x:v>
      </x:c>
      <x:c r="F21" s="8" t="str">
        <x:v>https://www.drejuina.com.br/uploads/editais/brasnorteedital--chamada-pUblica-2025docx-ZQmt.pdf</x:v>
      </x:c>
      <x:c r="G21" s="8" t="str">
        <x:v>PDF</x:v>
      </x:c>
      <x:c r="H21" s="8" t="n">
        <x:v>71</x:v>
      </x:c>
      <x:c r="I21" s="8" t="str">
        <x:v>894afa7f38679a3c8e5d2216d8c0f9d0e3f1b0ebf7f64c4502f7d18c86c48ba3</x:v>
      </x:c>
      <x:c r="J21" s="12" t="d">
        <x:v>2026-10-12T12:00:00.000Z</x:v>
      </x:c>
      <x:c r="K21" s="8" t="str">
        <x:v>BAIXADO_VALIDADO</x:v>
      </x:c>
      <x:c r="L21" s="8" t="str">
        <x:v>PNAE_MT_2025/06_JUINA/DOC-0017_brasnorteedital--chamada-pUblica-2025docx-ZQmt.pdf</x:v>
      </x:c>
      <x:c r="M21" s="8"/>
      <x:c r="N21" s="8" t="str">
        <x:v>Ano letivo de 2025 confirmado no PDF; dados extraídos sujeitos à conferência administrativa.</x:v>
      </x:c>
    </x:row>
    <x:row r="22" ht="84" customHeight="1">
      <x:c r="A22" s="8" t="str">
        <x:v>DOC-0018</x:v>
      </x:c>
      <x:c r="B22" s="8" t="str">
        <x:v>ED-0017</x:v>
      </x:c>
      <x:c r="C22" s="8" t="str">
        <x:v>Juína</x:v>
      </x:c>
      <x:c r="D22" s="8" t="str">
        <x:v>Edital</x:v>
      </x:c>
      <x:c r="E22" s="8" t="str">
        <x:v>juinaedital--chamada-pUblica-2025-juinadocx-d5go.pdf</x:v>
      </x:c>
      <x:c r="F22" s="8" t="str">
        <x:v>https://www.drejuina.com.br/uploads/editais/juinaedital--chamada-pUblica-2025-juinadocx-d5go.pdf</x:v>
      </x:c>
      <x:c r="G22" s="8" t="str">
        <x:v>PDF</x:v>
      </x:c>
      <x:c r="H22" s="8" t="n">
        <x:v>71</x:v>
      </x:c>
      <x:c r="I22" s="8" t="str">
        <x:v>16dd9336f6f19c5b11a6fd96f910d3f33b57fcfbade7ac004c52765f8f4606ab</x:v>
      </x:c>
      <x:c r="J22" s="12" t="d">
        <x:v>2026-10-12T12:00:00.000Z</x:v>
      </x:c>
      <x:c r="K22" s="8" t="str">
        <x:v>BAIXADO_VALIDADO</x:v>
      </x:c>
      <x:c r="L22" s="8" t="str">
        <x:v>PNAE_MT_2025/06_JUINA/DOC-0018_juinaedital--chamada-pUblica-2025-juinadocx-d5go.pdf</x:v>
      </x:c>
      <x:c r="M22" s="8"/>
      <x:c r="N22" s="8" t="str">
        <x:v>Ano letivo de 2025 confirmado no PDF; dados extraídos sujeitos à conferência administrativa.</x:v>
      </x:c>
    </x:row>
    <x:row r="23" ht="84" customHeight="1">
      <x:c r="A23" s="8" t="str">
        <x:v>DOC-0019</x:v>
      </x:c>
      <x:c r="B23" s="8" t="str">
        <x:v>ED-0018</x:v>
      </x:c>
      <x:c r="C23" s="8" t="str">
        <x:v>Juína</x:v>
      </x:c>
      <x:c r="D23" s="8" t="str">
        <x:v>Edital</x:v>
      </x:c>
      <x:c r="E23" s="8" t="str">
        <x:v>cotriguacuedital--chamada-pUblica-2025-t7Br.pdf</x:v>
      </x:c>
      <x:c r="F23" s="8" t="str">
        <x:v>https://www.drejuina.com.br/uploads/editais/cotriguacuedital--chamada-pUblica-2025-t7Br.pdf</x:v>
      </x:c>
      <x:c r="G23" s="8" t="str">
        <x:v>PDF</x:v>
      </x:c>
      <x:c r="H23" s="8" t="n">
        <x:v>66</x:v>
      </x:c>
      <x:c r="I23" s="8" t="str">
        <x:v>625e24224b3632854e6df1c9a2a8afc8ed76d64a4cb3f09b898f254d48ce5dab</x:v>
      </x:c>
      <x:c r="J23" s="12" t="d">
        <x:v>2026-10-12T12:00:00.000Z</x:v>
      </x:c>
      <x:c r="K23" s="8" t="str">
        <x:v>BAIXADO_VALIDADO</x:v>
      </x:c>
      <x:c r="L23" s="8" t="str">
        <x:v>PNAE_MT_2025/06_JUINA/DOC-0019_cotriguacuedital--chamada-pUblica-2025-t7Br.pdf</x:v>
      </x:c>
      <x:c r="M23" s="8"/>
      <x:c r="N23" s="8" t="str">
        <x:v>Ano letivo de 2025 confirmado no PDF; dados extraídos sujeitos à conferência administrativa.</x:v>
      </x:c>
    </x:row>
    <x:row r="24" ht="84" customHeight="1">
      <x:c r="A24" s="8" t="str">
        <x:v>DOC-0020</x:v>
      </x:c>
      <x:c r="B24" s="8" t="str">
        <x:v>ED-0018</x:v>
      </x:c>
      <x:c r="C24" s="8" t="str">
        <x:v>Juína</x:v>
      </x:c>
      <x:c r="D24" s="8" t="str">
        <x:v>Edital</x:v>
      </x:c>
      <x:c r="E24" s="8" t="str">
        <x:v>cotriguacuedital--chamada-pUblica-2025-2-MbYw.pdf</x:v>
      </x:c>
      <x:c r="F24" s="8" t="str">
        <x:v>https://www.drejuina.com.br/uploads/editais/cotriguacuedital--chamada-pUblica-2025-2-MbYw.pdf</x:v>
      </x:c>
      <x:c r="G24" s="8" t="str">
        <x:v>PDF</x:v>
      </x:c>
      <x:c r="H24" s="8" t="n">
        <x:v>66</x:v>
      </x:c>
      <x:c r="I24" s="8" t="str">
        <x:v>625e24224b3632854e6df1c9a2a8afc8ed76d64a4cb3f09b898f254d48ce5dab</x:v>
      </x:c>
      <x:c r="J24" s="12" t="d">
        <x:v>2026-10-12T12:00:00.000Z</x:v>
      </x:c>
      <x:c r="K24" s="8" t="str">
        <x:v>BAIXADO_VALIDADO</x:v>
      </x:c>
      <x:c r="L24" s="8" t="str">
        <x:v>PNAE_MT_2025/06_JUINA/DOC-0020_cotriguacuedital--chamada-pUblica-2025-2-MbYw.pdf</x:v>
      </x:c>
      <x:c r="M24" s="8" t="str">
        <x:v>DOC-0019</x:v>
      </x:c>
      <x:c r="N24" s="8" t="str">
        <x:v>Ano letivo de 2025 confirmado no PDF; dados extraídos sujeitos à conferência administrativa. Arquivo binariamente igual a DOC-0019.</x:v>
      </x:c>
    </x:row>
    <x:row r="25" ht="84" customHeight="1">
      <x:c r="A25" s="8" t="str">
        <x:v>DOC-0021</x:v>
      </x:c>
      <x:c r="B25" s="8" t="str">
        <x:v>ED-0019</x:v>
      </x:c>
      <x:c r="C25" s="8" t="str">
        <x:v>Juína</x:v>
      </x:c>
      <x:c r="D25" s="8" t="str">
        <x:v>Edital</x:v>
      </x:c>
      <x:c r="E25" s="8" t="str">
        <x:v>novo-horizonte-edital--chamada-pUblica-2025pos-parecer-2docx-FGAB.pdf</x:v>
      </x:c>
      <x:c r="F25" s="8" t="str">
        <x:v>https://www.drejuina.com.br/uploads/editais/novo-horizonte-edital--chamada-pUblica-2025pos-parecer-2docx-FGAB.pdf</x:v>
      </x:c>
      <x:c r="G25" s="8" t="str">
        <x:v>PDF</x:v>
      </x:c>
      <x:c r="H25" s="8" t="n">
        <x:v>70</x:v>
      </x:c>
      <x:c r="I25" s="8" t="str">
        <x:v>d9bee417ecfd9df0a6ed136b767cd52dd08733f7825bcd17185ffea8d30a603c</x:v>
      </x:c>
      <x:c r="J25" s="12" t="d">
        <x:v>2026-10-12T12:00:00.000Z</x:v>
      </x:c>
      <x:c r="K25" s="8" t="str">
        <x:v>BAIXADO_VALIDADO</x:v>
      </x:c>
      <x:c r="L25" s="8" t="str">
        <x:v>PNAE_MT_2025/06_JUINA/DOC-0021_novo-horizonte-edital--chamada-pUblica-2025pos-parecer-2docx-FGAB.pdf</x:v>
      </x:c>
      <x:c r="M25" s="8"/>
      <x:c r="N25" s="8" t="str">
        <x:v>Ano letivo de 2025 confirmado no PDF; dados extraídos sujeitos à conferência administrativa.</x:v>
      </x:c>
    </x:row>
    <x:row r="26" ht="84" customHeight="1">
      <x:c r="A26" s="8" t="str">
        <x:v>DOC-0022</x:v>
      </x:c>
      <x:c r="B26" s="8" t="str">
        <x:v>ED-0020</x:v>
      </x:c>
      <x:c r="C26" s="8" t="str">
        <x:v>Juína</x:v>
      </x:c>
      <x:c r="D26" s="8" t="str">
        <x:v>Edital</x:v>
      </x:c>
      <x:c r="E26" s="8" t="str">
        <x:v>porto-edital--chamada-pUblica-2025docx-1-zvmJ.pdf</x:v>
      </x:c>
      <x:c r="F26" s="8" t="str">
        <x:v>https://www.drejuina.com.br/uploads/editais/porto-edital--chamada-pUblica-2025docx-1-zvmJ.pdf</x:v>
      </x:c>
      <x:c r="G26" s="8" t="str">
        <x:v>PDF</x:v>
      </x:c>
      <x:c r="H26" s="8" t="n">
        <x:v>70</x:v>
      </x:c>
      <x:c r="I26" s="8" t="str">
        <x:v>cb73a7ee80accbded632f1357516bb6157c9d163716e68675608a75386d8b185</x:v>
      </x:c>
      <x:c r="J26" s="12" t="d">
        <x:v>2026-10-12T12:00:00.000Z</x:v>
      </x:c>
      <x:c r="K26" s="8" t="str">
        <x:v>BAIXADO_VALIDADO</x:v>
      </x:c>
      <x:c r="L26" s="8" t="str">
        <x:v>PNAE_MT_2025/06_JUINA/DOC-0022_porto-edital--chamada-pUblica-2025docx-1-zvmJ.pdf</x:v>
      </x:c>
      <x:c r="M26" s="8"/>
      <x:c r="N26" s="8" t="str">
        <x:v>Ano letivo de 2025 confirmado no PDF; dados extraídos sujeitos à conferência administrativa.</x:v>
      </x:c>
    </x:row>
    <x:row r="27" ht="84" customHeight="1">
      <x:c r="A27" s="8" t="str">
        <x:v>DOC-0023</x:v>
      </x:c>
      <x:c r="B27" s="8" t="str">
        <x:v>ED-0021</x:v>
      </x:c>
      <x:c r="C27" s="8" t="str">
        <x:v>Juína</x:v>
      </x:c>
      <x:c r="D27" s="8" t="str">
        <x:v>Edital</x:v>
      </x:c>
      <x:c r="E27" s="8" t="str">
        <x:v>juara-indigenaedital--chamada-pUblica-2025pos-parecer-1docx-5sZw.pdf</x:v>
      </x:c>
      <x:c r="F27" s="8" t="str">
        <x:v>https://www.drejuina.com.br/uploads/editais/juara-indigenaedital--chamada-pUblica-2025pos-parecer-1docx-5sZw.pdf</x:v>
      </x:c>
      <x:c r="G27" s="8" t="str">
        <x:v>PDF</x:v>
      </x:c>
      <x:c r="H27" s="8" t="n">
        <x:v>71</x:v>
      </x:c>
      <x:c r="I27" s="8" t="str">
        <x:v>74d97afe3db7b00b0b11f43d1aac9b8c93ab9efca8f2423f654f0a473b2cd977</x:v>
      </x:c>
      <x:c r="J27" s="12" t="d">
        <x:v>2026-10-12T12:00:00.000Z</x:v>
      </x:c>
      <x:c r="K27" s="8" t="str">
        <x:v>BAIXADO_VALIDADO</x:v>
      </x:c>
      <x:c r="L27" s="8" t="str">
        <x:v>PNAE_MT_2025/06_JUINA/DOC-0023_juara-indigenaedital--chamada-pUblica-2025pos-parecer-1docx-5sZw.pdf</x:v>
      </x:c>
      <x:c r="M27" s="8"/>
      <x:c r="N27" s="8" t="str">
        <x:v>Ano letivo de 2025 confirmado no PDF; dados extraídos sujeitos à conferência administrativa.</x:v>
      </x:c>
    </x:row>
    <x:row r="28" ht="84" customHeight="1">
      <x:c r="A28" s="8" t="str">
        <x:v>DOC-0024</x:v>
      </x:c>
      <x:c r="B28" s="8" t="str">
        <x:v>ED-0022</x:v>
      </x:c>
      <x:c r="C28" s="8" t="str">
        <x:v>Juína</x:v>
      </x:c>
      <x:c r="D28" s="8" t="str">
        <x:v>Edital</x:v>
      </x:c>
      <x:c r="E28" s="8" t="str">
        <x:v>juaraedital-docx-atRm.pdf</x:v>
      </x:c>
      <x:c r="F28" s="8" t="str">
        <x:v>https://www.drejuina.com.br/uploads/editais/juaraedital-docx-atRm.pdf</x:v>
      </x:c>
      <x:c r="G28" s="8" t="str">
        <x:v>PDF</x:v>
      </x:c>
      <x:c r="H28" s="8" t="n">
        <x:v>70</x:v>
      </x:c>
      <x:c r="I28" s="8" t="str">
        <x:v>ce762815c672efc76f002354e776ca31f18ebf409ae8e7b5fc50abf3ac9173ef</x:v>
      </x:c>
      <x:c r="J28" s="12" t="d">
        <x:v>2026-10-12T12:00:00.000Z</x:v>
      </x:c>
      <x:c r="K28" s="8" t="str">
        <x:v>BAIXADO_VALIDADO</x:v>
      </x:c>
      <x:c r="L28" s="8" t="str">
        <x:v>PNAE_MT_2025/06_JUINA/DOC-0024_juaraedital-docx-atRm.pdf</x:v>
      </x:c>
      <x:c r="M28" s="8"/>
      <x:c r="N28" s="8" t="str">
        <x:v>Ano letivo de 2025 confirmado no PDF; dados extraídos sujeitos à conferência administrativa.</x:v>
      </x:c>
    </x:row>
    <x:row r="29" ht="84" customHeight="1">
      <x:c r="A29" s="8" t="str">
        <x:v>DOC-0025</x:v>
      </x:c>
      <x:c r="B29" s="8" t="str">
        <x:v>ED-0023</x:v>
      </x:c>
      <x:c r="C29" s="8" t="str">
        <x:v>Juína</x:v>
      </x:c>
      <x:c r="D29" s="8" t="str">
        <x:v>Edital</x:v>
      </x:c>
      <x:c r="E29" s="8" t="str">
        <x:v>colniza-chamada-pUblica-2025pos-parecer1docx-Wh1j.pdf</x:v>
      </x:c>
      <x:c r="F29" s="8" t="str">
        <x:v>https://www.drejuina.com.br/uploads/editais/colniza-chamada-pUblica-2025pos-parecer1docx-Wh1j.pdf</x:v>
      </x:c>
      <x:c r="G29" s="8" t="str">
        <x:v>PDF</x:v>
      </x:c>
      <x:c r="H29" s="8" t="n">
        <x:v>70</x:v>
      </x:c>
      <x:c r="I29" s="8" t="str">
        <x:v>455f5658d11535a87865b000bee11b77317e3cda41af87a3c646323d9906971d</x:v>
      </x:c>
      <x:c r="J29" s="12" t="d">
        <x:v>2026-10-12T12:00:00.000Z</x:v>
      </x:c>
      <x:c r="K29" s="8" t="str">
        <x:v>BAIXADO_VALIDADO</x:v>
      </x:c>
      <x:c r="L29" s="8" t="str">
        <x:v>PNAE_MT_2025/06_JUINA/DOC-0025_colniza-chamada-pUblica-2025pos-parecer1docx-Wh1j.pdf</x:v>
      </x:c>
      <x:c r="M29" s="8"/>
      <x:c r="N29" s="8" t="str">
        <x:v>Ano letivo de 2025 confirmado no PDF; dados extraídos sujeitos à conferência administrativa.</x:v>
      </x:c>
    </x:row>
    <x:row r="30" ht="84" customHeight="1">
      <x:c r="A30" s="8" t="str">
        <x:v>DOC-0026</x:v>
      </x:c>
      <x:c r="B30" s="8" t="str">
        <x:v>ED-0024</x:v>
      </x:c>
      <x:c r="C30" s="8" t="str">
        <x:v>Juína</x:v>
      </x:c>
      <x:c r="D30" s="8" t="str">
        <x:v>Edital</x:v>
      </x:c>
      <x:c r="E30" s="8" t="str">
        <x:v>aripuana-edital--chamada-pUblica-2025pos-parecerdocx-1-gKjW.pdf</x:v>
      </x:c>
      <x:c r="F30" s="8" t="str">
        <x:v>https://www.drejuina.com.br/uploads/editais/aripuana-edital--chamada-pUblica-2025pos-parecerdocx-1-gKjW.pdf</x:v>
      </x:c>
      <x:c r="G30" s="8" t="str">
        <x:v>PDF</x:v>
      </x:c>
      <x:c r="H30" s="8" t="n">
        <x:v>71</x:v>
      </x:c>
      <x:c r="I30" s="8" t="str">
        <x:v>a3e9ff86e055e0baecd4ba22e1b7736d0d2969b707d3e44c70aa7526ba65af21</x:v>
      </x:c>
      <x:c r="J30" s="12" t="d">
        <x:v>2026-10-12T12:00:00.000Z</x:v>
      </x:c>
      <x:c r="K30" s="8" t="str">
        <x:v>BAIXADO_VALIDADO</x:v>
      </x:c>
      <x:c r="L30" s="8" t="str">
        <x:v>PNAE_MT_2025/06_JUINA/DOC-0026_aripuana-edital--chamada-pUblica-2025pos-parecerdocx-1-gKjW.pdf</x:v>
      </x:c>
      <x:c r="M30" s="8"/>
      <x:c r="N30" s="8" t="str">
        <x:v>Ano letivo de 2025 confirmado no PDF; dados extraídos sujeitos à conferência administrativa.</x:v>
      </x:c>
    </x:row>
    <x:row r="31" ht="84" customHeight="1">
      <x:c r="A31" s="8" t="str">
        <x:v>DOC-0027</x:v>
      </x:c>
      <x:c r="B31" s="8" t="str">
        <x:v>ED-0024</x:v>
      </x:c>
      <x:c r="C31" s="8" t="str">
        <x:v>Juína</x:v>
      </x:c>
      <x:c r="D31" s="8" t="str">
        <x:v>Edital</x:v>
      </x:c>
      <x:c r="E31" s="8" t="str">
        <x:v>aripuana-edital--chamada-pUblica-2025pos-parecerdocx-1-xI4f.pdf</x:v>
      </x:c>
      <x:c r="F31" s="8" t="str">
        <x:v>https://www.drejuina.com.br/uploads/editais/aripuana-edital--chamada-pUblica-2025pos-parecerdocx-1-xI4f.pdf</x:v>
      </x:c>
      <x:c r="G31" s="8" t="str">
        <x:v>PDF</x:v>
      </x:c>
      <x:c r="H31" s="8" t="n">
        <x:v>71</x:v>
      </x:c>
      <x:c r="I31" s="8" t="str">
        <x:v>a3e9ff86e055e0baecd4ba22e1b7736d0d2969b707d3e44c70aa7526ba65af21</x:v>
      </x:c>
      <x:c r="J31" s="12" t="d">
        <x:v>2026-10-12T12:00:00.000Z</x:v>
      </x:c>
      <x:c r="K31" s="8" t="str">
        <x:v>BAIXADO_VALIDADO</x:v>
      </x:c>
      <x:c r="L31" s="8" t="str">
        <x:v>PNAE_MT_2025/06_JUINA/DOC-0027_aripuana-edital--chamada-pUblica-2025pos-parecerdocx-1-xI4f.pdf</x:v>
      </x:c>
      <x:c r="M31" s="8" t="str">
        <x:v>DOC-0026</x:v>
      </x:c>
      <x:c r="N31" s="8" t="str">
        <x:v>Ano letivo de 2025 confirmado no PDF; dados extraídos sujeitos à conferência administrativa. Arquivo binariamente igual a DOC-0026.</x:v>
      </x:c>
    </x:row>
    <x:row r="32" ht="84" customHeight="1">
      <x:c r="A32" s="8" t="str">
        <x:v>DOC-0028</x:v>
      </x:c>
      <x:c r="B32" s="8"/>
      <x:c r="C32" s="8" t="str">
        <x:v>Primavera do Leste</x:v>
      </x:c>
      <x:c r="D32" s="8" t="str">
        <x:v>Edital</x:v>
      </x:c>
      <x:c r="E32" s="8" t="str">
        <x:v>DOC-0028.pdf</x:v>
      </x:c>
      <x:c r="F32" s="8" t="str">
        <x:v>https://drive.google.com/file/d/1_YuTDB4xvqh3439JU2pSIsXOUMLon9Gu/view?usp=drive_link</x:v>
      </x:c>
      <x:c r="G32" s="8" t="str">
        <x:v>PDF</x:v>
      </x:c>
      <x:c r="H32" s="8" t="n">
        <x:v>6</x:v>
      </x:c>
      <x:c r="I32" s="8" t="str">
        <x:v>b89f2279f80028d475b46ee683fd57ef67da21adb8c6d22bafce8048ef78987e</x:v>
      </x:c>
      <x:c r="J32" s="12" t="d">
        <x:v>2026-10-12T12:00:00.000Z</x:v>
      </x:c>
      <x:c r="K32" s="8" t="str">
        <x:v>BAIXADO_VALIDADO</x:v>
      </x:c>
      <x:c r="L32" s="8" t="str">
        <x:v>DOCUMENTOS_FORA_ESCOPO_OU_CONFLITANTES/10_PRIMAVERA_DO_LESTE/DOC-0028_DOC-0028.pdf</x:v>
      </x:c>
      <x:c r="M32" s="8"/>
      <x:c r="N32" s="8" t="str">
        <x:v>Catálogo de produtos; não é um edital.</x:v>
      </x:c>
    </x:row>
    <x:row r="33" ht="84" customHeight="1">
      <x:c r="A33" s="8" t="str">
        <x:v>DOC-0029</x:v>
      </x:c>
      <x:c r="B33" s="8" t="str">
        <x:v>ED-0025</x:v>
      </x:c>
      <x:c r="C33" s="8" t="str">
        <x:v>Primavera do Leste</x:v>
      </x:c>
      <x:c r="D33" s="8" t="str">
        <x:v>Edital</x:v>
      </x:c>
      <x:c r="E33" s="8" t="str">
        <x:v>DOC-0029.pdf</x:v>
      </x:c>
      <x:c r="F33" s="8" t="str">
        <x:v>https://drive.google.com/file/d/1U2KHE7gQmPFL3AjpT0_koB6xrzva2Djq/view?usp=drive_link</x:v>
      </x:c>
      <x:c r="G33" s="8" t="str">
        <x:v>PDF</x:v>
      </x:c>
      <x:c r="H33" s="8" t="n">
        <x:v>162</x:v>
      </x:c>
      <x:c r="I33" s="8" t="str">
        <x:v>73588ec3c99df49d57ed49e9ebf3faa18edafc3a4930496c34c94809c0879f08</x:v>
      </x:c>
      <x:c r="J33" s="12" t="d">
        <x:v>2026-10-12T12:00:00.000Z</x:v>
      </x:c>
      <x:c r="K33" s="8" t="str">
        <x:v>BAIXADO_VALIDADO</x:v>
      </x:c>
      <x:c r="L33" s="8" t="str">
        <x:v>DOCUMENTOS_FORA_ESCOPO_OU_CONFLITANTES/10_PRIMAVERA_DO_LESTE/DOC-0029_DOC-0029.pdf</x:v>
      </x:c>
      <x:c r="M33" s="8"/>
      <x:c r="N33" s="8" t="str">
        <x:v>Publicação de novembro/dezembro de 2025 preparada para 2026; alguns textos reutilizam ano 2025. Bloquear importação até revisão documental.</x:v>
      </x:c>
    </x:row>
    <x:row r="34" ht="84" customHeight="1">
      <x:c r="A34" s="8" t="str">
        <x:v>DOC-0030</x:v>
      </x:c>
      <x:c r="B34" s="8" t="str">
        <x:v>ED-0026</x:v>
      </x:c>
      <x:c r="C34" s="8" t="str">
        <x:v>Primavera do Leste</x:v>
      </x:c>
      <x:c r="D34" s="8" t="str">
        <x:v>Edital</x:v>
      </x:c>
      <x:c r="E34" s="8" t="str">
        <x:v>DOC-0030.pdf</x:v>
      </x:c>
      <x:c r="F34" s="8" t="str">
        <x:v>https://drive.google.com/file/d/1u4viDkeR13vC8sY0_b83YVsERdtqQcdI/view?usp=drive_link</x:v>
      </x:c>
      <x:c r="G34" s="8" t="str">
        <x:v>PDF</x:v>
      </x:c>
      <x:c r="H34" s="8" t="n">
        <x:v>169</x:v>
      </x:c>
      <x:c r="I34" s="8" t="str">
        <x:v>b95e2630b4bfabf5aafcef9506d8a04991de92ab77dd9213d1405a1e15fbefd9</x:v>
      </x:c>
      <x:c r="J34" s="12" t="d">
        <x:v>2026-10-12T12:00:00.000Z</x:v>
      </x:c>
      <x:c r="K34" s="8" t="str">
        <x:v>BAIXADO_VALIDADO</x:v>
      </x:c>
      <x:c r="L34" s="8" t="str">
        <x:v>DOCUMENTOS_FORA_ESCOPO_OU_CONFLITANTES/10_PRIMAVERA_DO_LESTE/DOC-0030_DOC-0030.pdf</x:v>
      </x:c>
      <x:c r="M34" s="8"/>
      <x:c r="N34" s="8" t="str">
        <x:v>Publicação de novembro/dezembro de 2025 preparada para 2026; alguns textos reutilizam ano 2025. Bloquear importação até revisão documental.</x:v>
      </x:c>
    </x:row>
    <x:row r="35" ht="84" customHeight="1">
      <x:c r="A35" s="8" t="str">
        <x:v>DOC-0031</x:v>
      </x:c>
      <x:c r="B35" s="8" t="str">
        <x:v>ED-0027</x:v>
      </x:c>
      <x:c r="C35" s="8" t="str">
        <x:v>Primavera do Leste</x:v>
      </x:c>
      <x:c r="D35" s="8" t="str">
        <x:v>Edital</x:v>
      </x:c>
      <x:c r="E35" s="8" t="str">
        <x:v>DOC-0031.pdf</x:v>
      </x:c>
      <x:c r="F35" s="8" t="str">
        <x:v>https://drive.google.com/file/d/11P2vQe6LDaw094XxMFfarykQGzPGw2RZ/view?usp=drive_link</x:v>
      </x:c>
      <x:c r="G35" s="8" t="str">
        <x:v>PDF</x:v>
      </x:c>
      <x:c r="H35" s="8" t="n">
        <x:v>1</x:v>
      </x:c>
      <x:c r="I35" s="8" t="str">
        <x:v>20219b8e5a7863c79b363828286669dcc445a228ebe99ed25a0ec88ae323e2af</x:v>
      </x:c>
      <x:c r="J35" s="12" t="d">
        <x:v>2026-10-12T12:00:00.000Z</x:v>
      </x:c>
      <x:c r="K35" s="8" t="str">
        <x:v>BAIXADO_VALIDADO</x:v>
      </x:c>
      <x:c r="L35" s="8" t="str">
        <x:v>DOCUMENTOS_FORA_ESCOPO_OU_CONFLITANTES/10_PRIMAVERA_DO_LESTE/DOC-0031_DOC-0031.pdf</x:v>
      </x:c>
      <x:c r="M35" s="8"/>
      <x:c r="N35" s="8" t="str">
        <x:v>Publicação de novembro/dezembro de 2025 preparada para 2026; alguns textos reutilizam ano 2025. Bloquear importação até revisão documental.</x:v>
      </x:c>
    </x:row>
    <x:row r="36" ht="84" customHeight="1">
      <x:c r="A36" s="8" t="str">
        <x:v>DOC-0032</x:v>
      </x:c>
      <x:c r="B36" s="8" t="str">
        <x:v>ED-0028</x:v>
      </x:c>
      <x:c r="C36" s="8" t="str">
        <x:v>Primavera do Leste</x:v>
      </x:c>
      <x:c r="D36" s="8" t="str">
        <x:v>Edital</x:v>
      </x:c>
      <x:c r="E36" s="8" t="str">
        <x:v>DOC-0032.pdf</x:v>
      </x:c>
      <x:c r="F36" s="8" t="str">
        <x:v>https://drive.google.com/file/d/1IaKsTwt6oygKi3cNcuJiDBxHBm93HsGi/view?usp=drive_link</x:v>
      </x:c>
      <x:c r="G36" s="8" t="str">
        <x:v>PDF</x:v>
      </x:c>
      <x:c r="H36" s="8" t="n">
        <x:v>165</x:v>
      </x:c>
      <x:c r="I36" s="8" t="str">
        <x:v>e6c3731e7996166587f4f7fdd8e044b04d5ed5be5c63f85f3f78e8e8f5744e8f</x:v>
      </x:c>
      <x:c r="J36" s="12" t="d">
        <x:v>2026-10-12T12:00:00.000Z</x:v>
      </x:c>
      <x:c r="K36" s="8" t="str">
        <x:v>BAIXADO_VALIDADO</x:v>
      </x:c>
      <x:c r="L36" s="8" t="str">
        <x:v>DOCUMENTOS_FORA_ESCOPO_OU_CONFLITANTES/10_PRIMAVERA_DO_LESTE/DOC-0032_DOC-0032.pdf</x:v>
      </x:c>
      <x:c r="M36" s="8"/>
      <x:c r="N36" s="8" t="str">
        <x:v>Publicação de novembro/dezembro de 2025 preparada para 2026; alguns textos reutilizam ano 2025. Bloquear importação até revisão documental.</x:v>
      </x:c>
    </x:row>
    <x:row r="37" ht="84" customHeight="1">
      <x:c r="A37" s="8" t="str">
        <x:v>DOC-0033</x:v>
      </x:c>
      <x:c r="B37" s="8" t="str">
        <x:v>ED-0029</x:v>
      </x:c>
      <x:c r="C37" s="8" t="str">
        <x:v>Primavera do Leste</x:v>
      </x:c>
      <x:c r="D37" s="8" t="str">
        <x:v>Edital</x:v>
      </x:c>
      <x:c r="E37" s="8" t="str">
        <x:v>DOC-0033.pdf</x:v>
      </x:c>
      <x:c r="F37" s="8" t="str">
        <x:v>https://drive.google.com/file/d/1A6ksWJbqRQdM9DkKbuW6ozKcjjJ_hm-B/view?usp=drive_link</x:v>
      </x:c>
      <x:c r="G37" s="8" t="str">
        <x:v>PDF</x:v>
      </x:c>
      <x:c r="H37" s="8" t="n">
        <x:v>1</x:v>
      </x:c>
      <x:c r="I37" s="8" t="str">
        <x:v>547804d53d4503a3d06ad238423375982899acb24d8b4d8aaf6fc37668ec7b56</x:v>
      </x:c>
      <x:c r="J37" s="12" t="d">
        <x:v>2026-10-12T12:00:00.000Z</x:v>
      </x:c>
      <x:c r="K37" s="8" t="str">
        <x:v>BAIXADO_VALIDADO</x:v>
      </x:c>
      <x:c r="L37" s="8" t="str">
        <x:v>DOCUMENTOS_FORA_ESCOPO_OU_CONFLITANTES/10_PRIMAVERA_DO_LESTE/DOC-0033_DOC-0033.pdf</x:v>
      </x:c>
      <x:c r="M37" s="8"/>
      <x:c r="N37" s="8" t="str">
        <x:v>Publicação de novembro/dezembro de 2025 preparada para 2026; alguns textos reutilizam ano 2025. Bloquear importação até revisão documental.</x:v>
      </x:c>
    </x:row>
    <x:row r="38" ht="84" customHeight="1">
      <x:c r="A38" s="8" t="str">
        <x:v>DOC-0034</x:v>
      </x:c>
      <x:c r="B38" s="8" t="str">
        <x:v>ED-0030</x:v>
      </x:c>
      <x:c r="C38" s="8" t="str">
        <x:v>Primavera do Leste</x:v>
      </x:c>
      <x:c r="D38" s="8" t="str">
        <x:v>Edital</x:v>
      </x:c>
      <x:c r="E38" s="8" t="str">
        <x:v>DOC-0034.pdf</x:v>
      </x:c>
      <x:c r="F38" s="8" t="str">
        <x:v>https://drive.google.com/file/d/1N2WYR06Qz76_58Ty5MbZL19ILFVeY6Cr/view?usp=drive_link</x:v>
      </x:c>
      <x:c r="G38" s="8" t="str">
        <x:v>PDF</x:v>
      </x:c>
      <x:c r="H38" s="8" t="n">
        <x:v>170</x:v>
      </x:c>
      <x:c r="I38" s="8" t="str">
        <x:v>0a935a8d38b9077dc2d449fdd4bb8f079a4e080d6d164b3823a40b7c98e1d5ce</x:v>
      </x:c>
      <x:c r="J38" s="12" t="d">
        <x:v>2026-10-12T12:00:00.000Z</x:v>
      </x:c>
      <x:c r="K38" s="8" t="str">
        <x:v>BAIXADO_VALIDADO</x:v>
      </x:c>
      <x:c r="L38" s="8" t="str">
        <x:v>DOCUMENTOS_FORA_ESCOPO_OU_CONFLITANTES/10_PRIMAVERA_DO_LESTE/DOC-0034_DOC-0034.pdf</x:v>
      </x:c>
      <x:c r="M38" s="8"/>
      <x:c r="N38" s="8" t="str">
        <x:v>Publicação de novembro/dezembro de 2025 preparada para 2026; alguns textos reutilizam ano 2025. Bloquear importação até revisão documental.</x:v>
      </x:c>
    </x:row>
    <x:row r="39" ht="84" customHeight="1">
      <x:c r="A39" s="8" t="str">
        <x:v>DOC-0035</x:v>
      </x:c>
      <x:c r="B39" s="8" t="str">
        <x:v>ED-0031</x:v>
      </x:c>
      <x:c r="C39" s="8" t="str">
        <x:v>Primavera do Leste</x:v>
      </x:c>
      <x:c r="D39" s="8" t="str">
        <x:v>Edital</x:v>
      </x:c>
      <x:c r="E39" s="8" t="str">
        <x:v>DOC-0035.pdf</x:v>
      </x:c>
      <x:c r="F39" s="8" t="str">
        <x:v>https://drive.google.com/file/d/1FOq4Eay9AaNQgqG3jtX1drPKFEYW_rQU/view?usp=drive_link</x:v>
      </x:c>
      <x:c r="G39" s="8" t="str">
        <x:v>PDF</x:v>
      </x:c>
      <x:c r="H39" s="8" t="n">
        <x:v>168</x:v>
      </x:c>
      <x:c r="I39" s="8" t="str">
        <x:v>3e120754bbad3a3d5114de0c177e140274fbf80a7388d17fed5462c5598e4506</x:v>
      </x:c>
      <x:c r="J39" s="12" t="d">
        <x:v>2026-10-12T12:00:00.000Z</x:v>
      </x:c>
      <x:c r="K39" s="8" t="str">
        <x:v>BAIXADO_VALIDADO</x:v>
      </x:c>
      <x:c r="L39" s="8" t="str">
        <x:v>DOCUMENTOS_FORA_ESCOPO_OU_CONFLITANTES/10_PRIMAVERA_DO_LESTE/DOC-0035_DOC-0035.pdf</x:v>
      </x:c>
      <x:c r="M39" s="8"/>
      <x:c r="N39" s="8" t="str">
        <x:v>Publicação de novembro/dezembro de 2025 preparada para 2026; alguns textos reutilizam ano 2025. Bloquear importação até revisão documental.</x:v>
      </x:c>
    </x:row>
    <x:row r="40" ht="84" customHeight="1">
      <x:c r="A40" s="8" t="str">
        <x:v>DOC-0036</x:v>
      </x:c>
      <x:c r="B40" s="8" t="str">
        <x:v>ED-0032</x:v>
      </x:c>
      <x:c r="C40" s="8" t="str">
        <x:v>Primavera do Leste</x:v>
      </x:c>
      <x:c r="D40" s="8" t="str">
        <x:v>Edital</x:v>
      </x:c>
      <x:c r="E40" s="8" t="str">
        <x:v>DOC-0036.pdf</x:v>
      </x:c>
      <x:c r="F40" s="8" t="str">
        <x:v>https://drive.google.com/file/d/1uOCEwWVJSG8frRHa4VJcf7GuS_oI-bUl/view?usp=drive_link</x:v>
      </x:c>
      <x:c r="G40" s="8" t="str">
        <x:v>PDF</x:v>
      </x:c>
      <x:c r="H40" s="8" t="n">
        <x:v>170</x:v>
      </x:c>
      <x:c r="I40" s="8" t="str">
        <x:v>3917b4aa6064d9e95ca2a928ed0908ea206897c2be3d4bbca0b8a6d144de4366</x:v>
      </x:c>
      <x:c r="J40" s="12" t="d">
        <x:v>2026-10-12T12:00:00.000Z</x:v>
      </x:c>
      <x:c r="K40" s="8" t="str">
        <x:v>BAIXADO_VALIDADO</x:v>
      </x:c>
      <x:c r="L40" s="8" t="str">
        <x:v>DOCUMENTOS_FORA_ESCOPO_OU_CONFLITANTES/10_PRIMAVERA_DO_LESTE/DOC-0036_DOC-0036.pdf</x:v>
      </x:c>
      <x:c r="M40" s="8"/>
      <x:c r="N40" s="8" t="str">
        <x:v>Publicação de novembro/dezembro de 2025 preparada para 2026; alguns textos reutilizam ano 2025. Bloquear importação até revisão documental.</x:v>
      </x:c>
    </x:row>
    <x:row r="41" ht="84" customHeight="1">
      <x:c r="A41" s="8" t="str">
        <x:v>DOC-0037</x:v>
      </x:c>
      <x:c r="B41" s="8" t="str">
        <x:v>ED-0033</x:v>
      </x:c>
      <x:c r="C41" s="8" t="str">
        <x:v>Primavera do Leste</x:v>
      </x:c>
      <x:c r="D41" s="8" t="str">
        <x:v>Edital</x:v>
      </x:c>
      <x:c r="E41" s="8" t="str">
        <x:v>DOC-0037.pdf</x:v>
      </x:c>
      <x:c r="F41" s="8" t="str">
        <x:v>https://drive.google.com/file/d/194zImK1prHxYLWtetHtbTQO2o1cblCEj/view?usp=drive_link</x:v>
      </x:c>
      <x:c r="G41" s="8" t="str">
        <x:v>PDF</x:v>
      </x:c>
      <x:c r="H41" s="8" t="n">
        <x:v>161</x:v>
      </x:c>
      <x:c r="I41" s="8" t="str">
        <x:v>5c72f050499eb47361aa1cfee4d5c2e1f1b9698a87fb2b20a02ace7348350d89</x:v>
      </x:c>
      <x:c r="J41" s="12" t="d">
        <x:v>2026-10-12T12:00:00.000Z</x:v>
      </x:c>
      <x:c r="K41" s="8" t="str">
        <x:v>BAIXADO_VALIDADO</x:v>
      </x:c>
      <x:c r="L41" s="8" t="str">
        <x:v>DOCUMENTOS_FORA_ESCOPO_OU_CONFLITANTES/10_PRIMAVERA_DO_LESTE/DOC-0037_DOC-0037.pdf</x:v>
      </x:c>
      <x:c r="M41" s="8"/>
      <x:c r="N41" s="8" t="str">
        <x:v>Publicação de novembro/dezembro de 2025 preparada para 2026; alguns textos reutilizam ano 2025. Bloquear importação até revisão documental.</x:v>
      </x:c>
    </x:row>
    <x:row r="42" ht="84" customHeight="1">
      <x:c r="A42" s="8" t="str">
        <x:v>DOC-0038</x:v>
      </x:c>
      <x:c r="B42" s="8" t="str">
        <x:v>ED-0034</x:v>
      </x:c>
      <x:c r="C42" s="8" t="str">
        <x:v>Primavera do Leste</x:v>
      </x:c>
      <x:c r="D42" s="8" t="str">
        <x:v>Edital</x:v>
      </x:c>
      <x:c r="E42" s="8" t="str">
        <x:v>DOC-0038.pdf</x:v>
      </x:c>
      <x:c r="F42" s="8" t="str">
        <x:v>https://drive.google.com/file/d/1GL-3TufRhzRAwncgIuYj5z4ejvyNIBrF/view?usp=drive_link</x:v>
      </x:c>
      <x:c r="G42" s="8" t="str">
        <x:v>PDF</x:v>
      </x:c>
      <x:c r="H42" s="8" t="n">
        <x:v>171</x:v>
      </x:c>
      <x:c r="I42" s="8" t="str">
        <x:v>04d3b4c9b4083ee4a8f5a5b52668ba321b5f1e4bcf29089f35b2a181be19c7aa</x:v>
      </x:c>
      <x:c r="J42" s="12" t="d">
        <x:v>2026-10-12T12:00:00.000Z</x:v>
      </x:c>
      <x:c r="K42" s="8" t="str">
        <x:v>BAIXADO_VALIDADO</x:v>
      </x:c>
      <x:c r="L42" s="8" t="str">
        <x:v>DOCUMENTOS_FORA_ESCOPO_OU_CONFLITANTES/10_PRIMAVERA_DO_LESTE/DOC-0038_DOC-0038.pdf</x:v>
      </x:c>
      <x:c r="M42" s="8"/>
      <x:c r="N42" s="8" t="str">
        <x:v>Publicação de novembro/dezembro de 2025 preparada para 2026; alguns textos reutilizam ano 2025. Bloquear importação até revisão documental.</x:v>
      </x:c>
    </x:row>
    <x:row r="43" ht="84" customHeight="1">
      <x:c r="A43" s="8" t="str">
        <x:v>DOC-0039</x:v>
      </x:c>
      <x:c r="B43" s="8" t="str">
        <x:v>ED-0035</x:v>
      </x:c>
      <x:c r="C43" s="8" t="str">
        <x:v>Primavera do Leste</x:v>
      </x:c>
      <x:c r="D43" s="8" t="str">
        <x:v>Edital</x:v>
      </x:c>
      <x:c r="E43" s="8" t="str">
        <x:v>DOC-0039.pdf</x:v>
      </x:c>
      <x:c r="F43" s="8" t="str">
        <x:v>https://drive.google.com/file/d/1_KMjEXJP4BdZk3uMexh4DOKOKY8WQF4X/view?usp=sharing</x:v>
      </x:c>
      <x:c r="G43" s="8" t="str">
        <x:v>PDF</x:v>
      </x:c>
      <x:c r="H43" s="8" t="n">
        <x:v>42</x:v>
      </x:c>
      <x:c r="I43" s="8" t="str">
        <x:v>bf3a95c181f75f8d79289949a37c546de19e22845bb10b2f254859ebde7a1671</x:v>
      </x:c>
      <x:c r="J43" s="12" t="d">
        <x:v>2026-10-12T12:00:00.000Z</x:v>
      </x:c>
      <x:c r="K43" s="8" t="str">
        <x:v>BAIXADO_VALIDADO</x:v>
      </x:c>
      <x:c r="L43" s="8" t="str">
        <x:v>DOCUMENTOS_FORA_ESCOPO_OU_CONFLITANTES/10_PRIMAVERA_DO_LESTE/DOC-0039_DOC-0039.pdf</x:v>
      </x:c>
      <x:c r="M43" s="8"/>
      <x:c r="N43" s="8" t="str">
        <x:v>Publicação de novembro/dezembro de 2025 preparada para 2026; alguns textos reutilizam ano 2025. Bloquear importação até revisão documental.</x:v>
      </x:c>
    </x:row>
    <x:row r="44" ht="84" customHeight="1">
      <x:c r="A44" s="8" t="str">
        <x:v>DOC-0040</x:v>
      </x:c>
      <x:c r="B44" s="8" t="str">
        <x:v>ED-0036</x:v>
      </x:c>
      <x:c r="C44" s="8" t="str">
        <x:v>Primavera do Leste</x:v>
      </x:c>
      <x:c r="D44" s="8" t="str">
        <x:v>Edital</x:v>
      </x:c>
      <x:c r="E44" s="8" t="str">
        <x:v>DOC-0040.pdf</x:v>
      </x:c>
      <x:c r="F44" s="8" t="str">
        <x:v>https://drive.google.com/file/d/1hKjjjUAavvzqwoLRUv5XFkyE7VZ0tmp4/view?usp=drive_link</x:v>
      </x:c>
      <x:c r="G44" s="8" t="str">
        <x:v>PDF</x:v>
      </x:c>
      <x:c r="H44" s="8" t="n">
        <x:v>44</x:v>
      </x:c>
      <x:c r="I44" s="8" t="str">
        <x:v>c2abdcce3e0f37de8af544c47b7bddfa1ff6d91896aea75c0ea1b58e28340c4e</x:v>
      </x:c>
      <x:c r="J44" s="12" t="d">
        <x:v>2026-10-12T12:00:00.000Z</x:v>
      </x:c>
      <x:c r="K44" s="8" t="str">
        <x:v>BAIXADO_VALIDADO</x:v>
      </x:c>
      <x:c r="L44" s="8" t="str">
        <x:v>DOCUMENTOS_FORA_ESCOPO_OU_CONFLITANTES/10_PRIMAVERA_DO_LESTE/DOC-0040_DOC-0040.pdf</x:v>
      </x:c>
      <x:c r="M44" s="8"/>
      <x:c r="N44" s="8" t="str">
        <x:v>Publicação de novembro/dezembro de 2025 preparada para 2026; alguns textos reutilizam ano 2025. Bloquear importação até revisão documental.</x:v>
      </x:c>
    </x:row>
    <x:row r="45" ht="84" customHeight="1">
      <x:c r="A45" s="8" t="str">
        <x:v>DOC-0041</x:v>
      </x:c>
      <x:c r="B45" s="8" t="str">
        <x:v>ED-0037</x:v>
      </x:c>
      <x:c r="C45" s="8" t="str">
        <x:v>Primavera do Leste</x:v>
      </x:c>
      <x:c r="D45" s="8" t="str">
        <x:v>Edital</x:v>
      </x:c>
      <x:c r="E45" s="8" t="str">
        <x:v>DOC-0041.pdf</x:v>
      </x:c>
      <x:c r="F45" s="8" t="str">
        <x:v>https://drive.google.com/file/d/11WTxQ7cYjRQ36rin-umxWwmZPZRcj-QU/view?usp=sharing</x:v>
      </x:c>
      <x:c r="G45" s="8" t="str">
        <x:v>PDF</x:v>
      </x:c>
      <x:c r="H45" s="8" t="n">
        <x:v>49</x:v>
      </x:c>
      <x:c r="I45" s="8" t="str">
        <x:v>b055034df0034f6ca3b89758d87c492d5b35050f82cb217e21c11ab249688165</x:v>
      </x:c>
      <x:c r="J45" s="12" t="d">
        <x:v>2026-10-12T12:00:00.000Z</x:v>
      </x:c>
      <x:c r="K45" s="8" t="str">
        <x:v>BAIXADO_VALIDADO</x:v>
      </x:c>
      <x:c r="L45" s="8" t="str">
        <x:v>DOCUMENTOS_FORA_ESCOPO_OU_CONFLITANTES/10_PRIMAVERA_DO_LESTE/DOC-0041_DOC-0041.pdf</x:v>
      </x:c>
      <x:c r="M45" s="8"/>
      <x:c r="N45" s="8" t="str">
        <x:v>Publicação de novembro/dezembro de 2025 preparada para 2026; alguns textos reutilizam ano 2025. Bloquear importação até revisão documental.</x:v>
      </x:c>
    </x:row>
    <x:row r="46" ht="84" customHeight="1">
      <x:c r="A46" s="8" t="str">
        <x:v>DOC-0042</x:v>
      </x:c>
      <x:c r="B46" s="8" t="str">
        <x:v>ED-0038</x:v>
      </x:c>
      <x:c r="C46" s="8" t="str">
        <x:v>Primavera do Leste</x:v>
      </x:c>
      <x:c r="D46" s="8" t="str">
        <x:v>Edital</x:v>
      </x:c>
      <x:c r="E46" s="8" t="str">
        <x:v>DOC-0042.pdf</x:v>
      </x:c>
      <x:c r="F46" s="8" t="str">
        <x:v>https://drive.google.com/file/d/1oshlg6_JFjkOBsfOCm9iThMWUKROxpXS/view?usp=drive_link</x:v>
      </x:c>
      <x:c r="G46" s="8" t="str">
        <x:v>PDF</x:v>
      </x:c>
      <x:c r="H46" s="8" t="n">
        <x:v>46</x:v>
      </x:c>
      <x:c r="I46" s="8" t="str">
        <x:v>8622d5556025564a971714e5e64f8bb831b25c238d3501dc85f5c82edf731651</x:v>
      </x:c>
      <x:c r="J46" s="12" t="d">
        <x:v>2026-10-12T12:00:00.000Z</x:v>
      </x:c>
      <x:c r="K46" s="8" t="str">
        <x:v>BAIXADO_VALIDADO</x:v>
      </x:c>
      <x:c r="L46" s="8" t="str">
        <x:v>DOCUMENTOS_FORA_ESCOPO_OU_CONFLITANTES/10_PRIMAVERA_DO_LESTE/DOC-0042_DOC-0042.pdf</x:v>
      </x:c>
      <x:c r="M46" s="8"/>
      <x:c r="N46" s="8" t="str">
        <x:v>Publicação de novembro/dezembro de 2025 preparada para 2026; alguns textos reutilizam ano 2025. Bloquear importação até revisão documental.</x:v>
      </x:c>
    </x:row>
    <x:row r="47" ht="84" customHeight="1">
      <x:c r="A47" s="8" t="str">
        <x:v>DOC-0043</x:v>
      </x:c>
      <x:c r="B47" s="8" t="str">
        <x:v>ED-0039</x:v>
      </x:c>
      <x:c r="C47" s="8" t="str">
        <x:v>Primavera do Leste</x:v>
      </x:c>
      <x:c r="D47" s="8" t="str">
        <x:v>Edital</x:v>
      </x:c>
      <x:c r="E47" s="8" t="str">
        <x:v>DOC-0043.pdf</x:v>
      </x:c>
      <x:c r="F47" s="8" t="str">
        <x:v>https://drive.google.com/file/d/1dJSfMI4DTtzf0iEWyeJgPXuJjGThhhQn/view?usp=drive_link</x:v>
      </x:c>
      <x:c r="G47" s="8" t="str">
        <x:v>PDF</x:v>
      </x:c>
      <x:c r="H47" s="8" t="n">
        <x:v>49</x:v>
      </x:c>
      <x:c r="I47" s="8" t="str">
        <x:v>20df9ec0dacf9b5c51c40ffaa94250ef7d4c42ba88209ab137350ac596f705da</x:v>
      </x:c>
      <x:c r="J47" s="12" t="d">
        <x:v>2026-10-12T12:00:00.000Z</x:v>
      </x:c>
      <x:c r="K47" s="8" t="str">
        <x:v>BAIXADO_VALIDADO</x:v>
      </x:c>
      <x:c r="L47" s="8" t="str">
        <x:v>DOCUMENTOS_FORA_ESCOPO_OU_CONFLITANTES/10_PRIMAVERA_DO_LESTE/DOC-0043_DOC-0043.pdf</x:v>
      </x:c>
      <x:c r="M47" s="8"/>
      <x:c r="N47" s="8" t="str">
        <x:v>Publicação de novembro/dezembro de 2025 preparada para 2026; alguns textos reutilizam ano 2025. Bloquear importação até revisão documental.</x:v>
      </x:c>
    </x:row>
    <x:row r="48" ht="84" customHeight="1">
      <x:c r="A48" s="8" t="str">
        <x:v>DOC-0044</x:v>
      </x:c>
      <x:c r="B48" s="8" t="str">
        <x:v>ED-0040</x:v>
      </x:c>
      <x:c r="C48" s="8" t="str">
        <x:v>Primavera do Leste</x:v>
      </x:c>
      <x:c r="D48" s="8" t="str">
        <x:v>Edital</x:v>
      </x:c>
      <x:c r="E48" s="8" t="str">
        <x:v>DOC-0044.pdf</x:v>
      </x:c>
      <x:c r="F48" s="8" t="str">
        <x:v>https://drive.google.com/file/d/1Apt0mpLmRSon4T6wJTwCpQLheRbVx5Bv/view?usp=drive_link</x:v>
      </x:c>
      <x:c r="G48" s="8" t="str">
        <x:v>PDF</x:v>
      </x:c>
      <x:c r="H48" s="8" t="n">
        <x:v>1</x:v>
      </x:c>
      <x:c r="I48" s="8" t="str">
        <x:v>b65307bfc6fb008614d27fc9d12c8d2441081bd1eb6944655e36f32bb5805853</x:v>
      </x:c>
      <x:c r="J48" s="12" t="d">
        <x:v>2026-10-12T12:00:00.000Z</x:v>
      </x:c>
      <x:c r="K48" s="8" t="str">
        <x:v>BAIXADO_VALIDADO</x:v>
      </x:c>
      <x:c r="L48" s="8" t="str">
        <x:v>DOCUMENTOS_FORA_ESCOPO_OU_CONFLITANTES/10_PRIMAVERA_DO_LESTE/DOC-0044_DOC-0044.pdf</x:v>
      </x:c>
      <x:c r="M48" s="8"/>
      <x:c r="N48" s="8" t="str">
        <x:v>Publicação de novembro/dezembro de 2025 preparada para 2026; alguns textos reutilizam ano 2025. Bloquear importação até revisão documental.</x:v>
      </x:c>
    </x:row>
    <x:row r="49" ht="84" customHeight="1">
      <x:c r="A49" s="8" t="str">
        <x:v>DOC-0045</x:v>
      </x:c>
      <x:c r="B49" s="8" t="str">
        <x:v>ED-0041</x:v>
      </x:c>
      <x:c r="C49" s="8" t="str">
        <x:v>Primavera do Leste</x:v>
      </x:c>
      <x:c r="D49" s="8" t="str">
        <x:v>Edital</x:v>
      </x:c>
      <x:c r="E49" s="8" t="str">
        <x:v>DOC-0045.pdf</x:v>
      </x:c>
      <x:c r="F49" s="8" t="str">
        <x:v>https://drive.google.com/file/d/155Ya79RS0h0Phrfr8W2FUMLSk25SUBUZ/view?usp=drive_link</x:v>
      </x:c>
      <x:c r="G49" s="8" t="str">
        <x:v>PDF</x:v>
      </x:c>
      <x:c r="H49" s="8" t="n">
        <x:v>51</x:v>
      </x:c>
      <x:c r="I49" s="8" t="str">
        <x:v>d15b8d007cfaf5116f1a1d60baa17390e24b422bb020db36ccfa21c2ae5585a8</x:v>
      </x:c>
      <x:c r="J49" s="12" t="d">
        <x:v>2026-10-12T12:00:00.000Z</x:v>
      </x:c>
      <x:c r="K49" s="8" t="str">
        <x:v>BAIXADO_VALIDADO</x:v>
      </x:c>
      <x:c r="L49" s="8" t="str">
        <x:v>DOCUMENTOS_FORA_ESCOPO_OU_CONFLITANTES/10_PRIMAVERA_DO_LESTE/DOC-0045_DOC-0045.pdf</x:v>
      </x:c>
      <x:c r="M49" s="8"/>
      <x:c r="N49" s="8" t="str">
        <x:v>Publicação de novembro/dezembro de 2025 preparada para 2026; alguns textos reutilizam ano 2025. Bloquear importação até revisão documental.</x:v>
      </x:c>
    </x:row>
    <x:row r="50" ht="84" customHeight="1">
      <x:c r="A50" s="8" t="str">
        <x:v>DOC-0046</x:v>
      </x:c>
      <x:c r="B50" s="8" t="str">
        <x:v>ED-0042</x:v>
      </x:c>
      <x:c r="C50" s="8" t="str">
        <x:v>Primavera do Leste</x:v>
      </x:c>
      <x:c r="D50" s="8" t="str">
        <x:v>Edital</x:v>
      </x:c>
      <x:c r="E50" s="8" t="str">
        <x:v>DOC-0046.pdf</x:v>
      </x:c>
      <x:c r="F50" s="8" t="str">
        <x:v>https://drive.google.com/file/d/1FeVRDtsX6IrvS2jZ8OjU87z4A2pwQyRA/view?usp=drive_link</x:v>
      </x:c>
      <x:c r="G50" s="8" t="str">
        <x:v>PDF</x:v>
      </x:c>
      <x:c r="H50" s="8" t="n">
        <x:v>52</x:v>
      </x:c>
      <x:c r="I50" s="8" t="str">
        <x:v>503102052917fabba7d82dee60743c78fcf36602824394f1b128cfe6c5b15ca7</x:v>
      </x:c>
      <x:c r="J50" s="12" t="d">
        <x:v>2026-10-12T12:00:00.000Z</x:v>
      </x:c>
      <x:c r="K50" s="8" t="str">
        <x:v>BAIXADO_VALIDADO</x:v>
      </x:c>
      <x:c r="L50" s="8" t="str">
        <x:v>DOCUMENTOS_FORA_ESCOPO_OU_CONFLITANTES/10_PRIMAVERA_DO_LESTE/DOC-0046_DOC-0046.pdf</x:v>
      </x:c>
      <x:c r="M50" s="8"/>
      <x:c r="N50" s="8" t="str">
        <x:v>Publicação de novembro/dezembro de 2025 preparada para 2026; alguns textos reutilizam ano 2025. Bloquear importação até revisão documental.</x:v>
      </x:c>
    </x:row>
    <x:row r="51" ht="84" customHeight="1">
      <x:c r="A51" s="8" t="str">
        <x:v>DOC-0047</x:v>
      </x:c>
      <x:c r="B51" s="8" t="str">
        <x:v>ED-0043</x:v>
      </x:c>
      <x:c r="C51" s="8" t="str">
        <x:v>Primavera do Leste</x:v>
      </x:c>
      <x:c r="D51" s="8" t="str">
        <x:v>Edital</x:v>
      </x:c>
      <x:c r="E51" s="8" t="str">
        <x:v>DOC-0047.pdf</x:v>
      </x:c>
      <x:c r="F51" s="8" t="str">
        <x:v>https://drive.google.com/file/d/1vUp5LfrsB_Cz_szM9Zhpg-5oO7XckfF0/view?usp=sharing</x:v>
      </x:c>
      <x:c r="G51" s="8" t="str">
        <x:v>PDF</x:v>
      </x:c>
      <x:c r="H51" s="8" t="n">
        <x:v>58</x:v>
      </x:c>
      <x:c r="I51" s="8" t="str">
        <x:v>0c45db6fea6314c9820932f067a135aff1af0eeb4a1f112e3126955f3b6faf67</x:v>
      </x:c>
      <x:c r="J51" s="12" t="d">
        <x:v>2026-10-12T12:00:00.000Z</x:v>
      </x:c>
      <x:c r="K51" s="8" t="str">
        <x:v>BAIXADO_VALIDADO</x:v>
      </x:c>
      <x:c r="L51" s="8" t="str">
        <x:v>DOCUMENTOS_FORA_ESCOPO_OU_CONFLITANTES/10_PRIMAVERA_DO_LESTE/DOC-0047_DOC-0047.pdf</x:v>
      </x:c>
      <x:c r="M51" s="8"/>
      <x:c r="N51" s="8" t="str">
        <x:v>Publicação de novembro/dezembro de 2025 preparada para 2026; alguns textos reutilizam ano 2025. Bloquear importação até revisão documental.</x:v>
      </x:c>
    </x:row>
    <x:row r="52" ht="84" customHeight="1">
      <x:c r="A52" s="8" t="str">
        <x:v>DOC-0048</x:v>
      </x:c>
      <x:c r="B52" s="8" t="str">
        <x:v>ED-0044</x:v>
      </x:c>
      <x:c r="C52" s="8" t="str">
        <x:v>Primavera do Leste</x:v>
      </x:c>
      <x:c r="D52" s="8" t="str">
        <x:v>Edital</x:v>
      </x:c>
      <x:c r="E52" s="8" t="str">
        <x:v>DOC-0048.pdf</x:v>
      </x:c>
      <x:c r="F52" s="8" t="str">
        <x:v>https://drive.google.com/file/d/1ROfDZgd_0HFbAs_zga1X4lpu8wdWyKIb/view?usp=drive_link</x:v>
      </x:c>
      <x:c r="G52" s="8" t="str">
        <x:v>PDF</x:v>
      </x:c>
      <x:c r="H52" s="8" t="n">
        <x:v>175</x:v>
      </x:c>
      <x:c r="I52" s="8" t="str">
        <x:v>03c2ad83a8fd167318ca1ee30fe507926074d38bb4a813baa2fc5db7cf9bf546</x:v>
      </x:c>
      <x:c r="J52" s="12" t="d">
        <x:v>2026-10-12T12:00:00.000Z</x:v>
      </x:c>
      <x:c r="K52" s="8" t="str">
        <x:v>BAIXADO_VALIDADO</x:v>
      </x:c>
      <x:c r="L52" s="8" t="str">
        <x:v>PNAE_MT_2025/10_PRIMAVERA_DO_LESTE/DOC-0048_DOC-0048.pdf</x:v>
      </x:c>
      <x:c r="M52" s="8"/>
      <x:c r="N52" s="8" t="str">
        <x:v>Categoria separada da agricultura familiar. Não importar no módulo de chamadas públicas.</x:v>
      </x:c>
    </x:row>
    <x:row r="53" ht="84" customHeight="1">
      <x:c r="A53" s="8" t="str">
        <x:v>DOC-0049</x:v>
      </x:c>
      <x:c r="B53" s="8" t="str">
        <x:v>ED-0045</x:v>
      </x:c>
      <x:c r="C53" s="8" t="str">
        <x:v>Primavera do Leste</x:v>
      </x:c>
      <x:c r="D53" s="8" t="str">
        <x:v>Edital</x:v>
      </x:c>
      <x:c r="E53" s="8" t="str">
        <x:v>DOC-0049.pdf</x:v>
      </x:c>
      <x:c r="F53" s="8" t="str">
        <x:v>https://drive.google.com/file/d/1Ff8DJ5Z458Y-Pqp5bTpMz-t_j4oUmEpn/view?usp=drive_link</x:v>
      </x:c>
      <x:c r="G53" s="8" t="str">
        <x:v>PDF</x:v>
      </x:c>
      <x:c r="H53" s="8" t="n">
        <x:v>1</x:v>
      </x:c>
      <x:c r="I53" s="8" t="str">
        <x:v>fea64ebb5fcb580073d538122351deda929eff68f1116fef50bb7dfc2f6e8173</x:v>
      </x:c>
      <x:c r="J53" s="12" t="d">
        <x:v>2026-10-12T12:00:00.000Z</x:v>
      </x:c>
      <x:c r="K53" s="8" t="str">
        <x:v>BAIXADO_VALIDADO</x:v>
      </x:c>
      <x:c r="L53" s="8" t="str">
        <x:v>PNAE_MT_2025/10_PRIMAVERA_DO_LESTE/DOC-0049_DOC-0049.pdf</x:v>
      </x:c>
      <x:c r="M53" s="8"/>
      <x:c r="N53" s="8" t="str">
        <x:v>Categoria separada da agricultura familiar. Não importar no módulo de chamadas públicas.</x:v>
      </x:c>
    </x:row>
    <x:row r="54" ht="84" customHeight="1">
      <x:c r="A54" s="8" t="str">
        <x:v>DOC-0050</x:v>
      </x:c>
      <x:c r="B54" s="8" t="str">
        <x:v>ED-0046</x:v>
      </x:c>
      <x:c r="C54" s="8" t="str">
        <x:v>Primavera do Leste</x:v>
      </x:c>
      <x:c r="D54" s="8" t="str">
        <x:v>Edital</x:v>
      </x:c>
      <x:c r="E54" s="8" t="str">
        <x:v>DOC-0050.pdf</x:v>
      </x:c>
      <x:c r="F54" s="8" t="str">
        <x:v>https://drive.google.com/file/d/1ankz-P-NgVCs0DfIGJVEswIzkyqATLOt/view?usp=drive_link</x:v>
      </x:c>
      <x:c r="G54" s="8" t="str">
        <x:v>PDF</x:v>
      </x:c>
      <x:c r="H54" s="8" t="n">
        <x:v>42</x:v>
      </x:c>
      <x:c r="I54" s="8" t="str">
        <x:v>b862b9bb9b1e683e4a5a5f387de0322ca0d143c0dc1f06c4ce9aac5a1518b8a8</x:v>
      </x:c>
      <x:c r="J54" s="12" t="d">
        <x:v>2026-10-12T12:00:00.000Z</x:v>
      </x:c>
      <x:c r="K54" s="8" t="str">
        <x:v>BAIXADO_VALIDADO</x:v>
      </x:c>
      <x:c r="L54" s="8" t="str">
        <x:v>PNAE_MT_2025/10_PRIMAVERA_DO_LESTE/DOC-0050_DOC-0050.pdf</x:v>
      </x:c>
      <x:c r="M54" s="8"/>
      <x:c r="N54" s="8" t="str">
        <x:v>Ano letivo de 2025 confirmado no PDF; dados extraídos sujeitos à conferência administrativa.</x:v>
      </x:c>
    </x:row>
    <x:row r="55" ht="84" customHeight="1">
      <x:c r="A55" s="8" t="str">
        <x:v>DOC-0051</x:v>
      </x:c>
      <x:c r="B55" s="8" t="str">
        <x:v>ED-0047</x:v>
      </x:c>
      <x:c r="C55" s="8" t="str">
        <x:v>Primavera do Leste</x:v>
      </x:c>
      <x:c r="D55" s="8" t="str">
        <x:v>Edital</x:v>
      </x:c>
      <x:c r="E55" s="8" t="str">
        <x:v>DOC-0051.pdf</x:v>
      </x:c>
      <x:c r="F55" s="8" t="str">
        <x:v>https://drive.google.com/file/d/16n6QQItwSAsgwoe4dX5Lovqa5cS8EOLe/view?usp=drive_link</x:v>
      </x:c>
      <x:c r="G55" s="8" t="str">
        <x:v>PDF</x:v>
      </x:c>
      <x:c r="H55" s="8" t="n">
        <x:v>177</x:v>
      </x:c>
      <x:c r="I55" s="8" t="str">
        <x:v>8fb5bbb11f47cee6c300e6b88f88d614c0ee5d8a9a303ab984a8dbe454a1b0d8</x:v>
      </x:c>
      <x:c r="J55" s="12" t="d">
        <x:v>2026-10-12T12:00:00.000Z</x:v>
      </x:c>
      <x:c r="K55" s="8" t="str">
        <x:v>BAIXADO_VALIDADO</x:v>
      </x:c>
      <x:c r="L55" s="8" t="str">
        <x:v>PNAE_MT_2025/10_PRIMAVERA_DO_LESTE/DOC-0051_DOC-0051.pdf</x:v>
      </x:c>
      <x:c r="M55" s="8"/>
      <x:c r="N55" s="8" t="str">
        <x:v>Categoria separada da agricultura familiar. Não importar no módulo de chamadas públicas.</x:v>
      </x:c>
    </x:row>
    <x:row r="56" ht="84" customHeight="1">
      <x:c r="A56" s="8" t="str">
        <x:v>DOC-0052</x:v>
      </x:c>
      <x:c r="B56" s="8" t="str">
        <x:v>ED-0048</x:v>
      </x:c>
      <x:c r="C56" s="8" t="str">
        <x:v>Primavera do Leste</x:v>
      </x:c>
      <x:c r="D56" s="8" t="str">
        <x:v>Edital</x:v>
      </x:c>
      <x:c r="E56" s="8" t="str">
        <x:v>DOC-0052.pdf</x:v>
      </x:c>
      <x:c r="F56" s="8" t="str">
        <x:v>https://drive.google.com/file/d/1lmzHuVSvCENKWZqtCnxoLugonYRk5q4b/view?usp=drive_link</x:v>
      </x:c>
      <x:c r="G56" s="8" t="str">
        <x:v>PDF</x:v>
      </x:c>
      <x:c r="H56" s="8" t="n">
        <x:v>144</x:v>
      </x:c>
      <x:c r="I56" s="8" t="str">
        <x:v>7f7440235786f99f27231d9bc552119b2d32f9c345552d23609af401ba33a549</x:v>
      </x:c>
      <x:c r="J56" s="12" t="d">
        <x:v>2026-10-12T12:00:00.000Z</x:v>
      </x:c>
      <x:c r="K56" s="8" t="str">
        <x:v>BAIXADO_VALIDADO</x:v>
      </x:c>
      <x:c r="L56" s="8" t="str">
        <x:v>PNAE_MT_2025/10_PRIMAVERA_DO_LESTE/DOC-0052_DOC-0052.pdf</x:v>
      </x:c>
      <x:c r="M56" s="8"/>
      <x:c r="N56" s="8" t="str">
        <x:v>Categoria separada da agricultura familiar. Não importar no módulo de chamadas públicas.</x:v>
      </x:c>
    </x:row>
    <x:row r="57" ht="84" customHeight="1">
      <x:c r="A57" s="8" t="str">
        <x:v>DOC-0053</x:v>
      </x:c>
      <x:c r="B57" s="8" t="str">
        <x:v>ED-0049</x:v>
      </x:c>
      <x:c r="C57" s="8" t="str">
        <x:v>Primavera do Leste</x:v>
      </x:c>
      <x:c r="D57" s="8" t="str">
        <x:v>Aviso</x:v>
      </x:c>
      <x:c r="E57" s="8" t="str">
        <x:v>DOC-0053.pdf</x:v>
      </x:c>
      <x:c r="F57" s="8" t="str">
        <x:v>https://drive.google.com/file/d/1ePJTFohNmZnvFdVFJflQwj3KFWYzvtl_/view?usp=drive_link</x:v>
      </x:c>
      <x:c r="G57" s="8" t="str">
        <x:v>PDF</x:v>
      </x:c>
      <x:c r="H57" s="8" t="n">
        <x:v>1</x:v>
      </x:c>
      <x:c r="I57" s="8" t="str">
        <x:v>47fa2257ce1fc068e977226f152e17110108eda8537bc8fcab6f78c5cbba2afa</x:v>
      </x:c>
      <x:c r="J57" s="12" t="d">
        <x:v>2026-10-12T12:00:00.000Z</x:v>
      </x:c>
      <x:c r="K57" s="8" t="str">
        <x:v>BAIXADO_VALIDADO</x:v>
      </x:c>
      <x:c r="L57" s="8" t="str">
        <x:v>PNAE_MT_2025/10_PRIMAVERA_DO_LESTE/DOC-0053_DOC-0053.pdf</x:v>
      </x:c>
      <x:c r="M57" s="8"/>
      <x:c r="N57" s="8" t="str">
        <x:v>Categoria separada da agricultura familiar. Não importar no módulo de chamadas públicas.</x:v>
      </x:c>
    </x:row>
    <x:row r="58" ht="84" customHeight="1">
      <x:c r="A58" s="8" t="str">
        <x:v>DOC-0054</x:v>
      </x:c>
      <x:c r="B58" s="8" t="str">
        <x:v>ED-0049</x:v>
      </x:c>
      <x:c r="C58" s="8" t="str">
        <x:v>Primavera do Leste</x:v>
      </x:c>
      <x:c r="D58" s="8" t="str">
        <x:v>Edital</x:v>
      </x:c>
      <x:c r="E58" s="8" t="str">
        <x:v>DOC-0054.pdf</x:v>
      </x:c>
      <x:c r="F58" s="8" t="str">
        <x:v>https://drive.google.com/file/d/1r7EBKU6sk3EQq4lAIMwymE9d8Xbq9Ztf/view?usp=drive_link</x:v>
      </x:c>
      <x:c r="G58" s="8" t="str">
        <x:v>PDF</x:v>
      </x:c>
      <x:c r="H58" s="8" t="n">
        <x:v>161</x:v>
      </x:c>
      <x:c r="I58" s="8" t="str">
        <x:v>61ba989e6aa96ef533f8dd3ac54482fe0aa4cd5ad58e68480e9176826b3ca576</x:v>
      </x:c>
      <x:c r="J58" s="12" t="d">
        <x:v>2026-10-12T12:00:00.000Z</x:v>
      </x:c>
      <x:c r="K58" s="8" t="str">
        <x:v>BAIXADO_VALIDADO</x:v>
      </x:c>
      <x:c r="L58" s="8" t="str">
        <x:v>PNAE_MT_2025/10_PRIMAVERA_DO_LESTE/DOC-0054_DOC-0054.pdf</x:v>
      </x:c>
      <x:c r="M58" s="8"/>
      <x:c r="N58" s="8" t="str">
        <x:v>Categoria separada da agricultura familiar. Não importar no módulo de chamadas públicas.</x:v>
      </x:c>
    </x:row>
    <x:row r="59" ht="84" customHeight="1">
      <x:c r="A59" s="8" t="str">
        <x:v>DOC-0055</x:v>
      </x:c>
      <x:c r="B59" s="8" t="str">
        <x:v>ED-0050</x:v>
      </x:c>
      <x:c r="C59" s="8" t="str">
        <x:v>Primavera do Leste</x:v>
      </x:c>
      <x:c r="D59" s="8" t="str">
        <x:v>Aviso</x:v>
      </x:c>
      <x:c r="E59" s="8" t="str">
        <x:v>DOC-0055.pdf</x:v>
      </x:c>
      <x:c r="F59" s="8" t="str">
        <x:v>https://drive.google.com/file/d/1ZOyOp4RM83qtRR9bmDlTKbPBme1_gTQH/view?usp=drive_link</x:v>
      </x:c>
      <x:c r="G59" s="8" t="str">
        <x:v>PDF</x:v>
      </x:c>
      <x:c r="H59" s="8" t="n">
        <x:v>1</x:v>
      </x:c>
      <x:c r="I59" s="8" t="str">
        <x:v>9add7924e69099a37e4f5a208489e533a5d9216891ad604d81e51184feb0745e</x:v>
      </x:c>
      <x:c r="J59" s="12" t="d">
        <x:v>2026-10-12T12:00:00.000Z</x:v>
      </x:c>
      <x:c r="K59" s="8" t="str">
        <x:v>BAIXADO_VALIDADO</x:v>
      </x:c>
      <x:c r="L59" s="8" t="str">
        <x:v>PNAE_MT_2025/10_PRIMAVERA_DO_LESTE/DOC-0055_DOC-0055.pdf</x:v>
      </x:c>
      <x:c r="M59" s="8"/>
      <x:c r="N59" s="8" t="str">
        <x:v>Página do Diário Oficial com múltiplos avisos. Vínculo vem do contexto da publicação; falta conferir o edital integral.</x:v>
      </x:c>
    </x:row>
    <x:row r="60" ht="84" customHeight="1">
      <x:c r="A60" s="8" t="str">
        <x:v>DOC-0056</x:v>
      </x:c>
      <x:c r="B60" s="8" t="str">
        <x:v>ED-0051</x:v>
      </x:c>
      <x:c r="C60" s="8" t="str">
        <x:v>Primavera do Leste</x:v>
      </x:c>
      <x:c r="D60" s="8" t="str">
        <x:v>Aviso</x:v>
      </x:c>
      <x:c r="E60" s="8" t="str">
        <x:v>DOC-0056.pdf</x:v>
      </x:c>
      <x:c r="F60" s="8" t="str">
        <x:v>https://drive.google.com/file/d/1Y_315oY6TdY8OgRLwb159dQbj6z_sHZR/view?usp=drive_link</x:v>
      </x:c>
      <x:c r="G60" s="8" t="str">
        <x:v>PDF</x:v>
      </x:c>
      <x:c r="H60" s="8" t="n">
        <x:v>1</x:v>
      </x:c>
      <x:c r="I60" s="8" t="str">
        <x:v>f54c7bef910089b0188853f7a3c3c0dd41dcb031b379eb58d5c3d2adbc2c35fb</x:v>
      </x:c>
      <x:c r="J60" s="12" t="d">
        <x:v>2026-10-12T12:00:00.000Z</x:v>
      </x:c>
      <x:c r="K60" s="8" t="str">
        <x:v>BAIXADO_VALIDADO</x:v>
      </x:c>
      <x:c r="L60" s="8" t="str">
        <x:v>PNAE_MT_2025/10_PRIMAVERA_DO_LESTE/DOC-0056_DOC-0056.pdf</x:v>
      </x:c>
      <x:c r="M60" s="8"/>
      <x:c r="N60" s="8" t="str">
        <x:v>Aviso em página do Diário Oficial; edital completo disponível em outro arquivo.</x:v>
      </x:c>
    </x:row>
    <x:row r="61" ht="84" customHeight="1">
      <x:c r="A61" s="8" t="str">
        <x:v>DOC-0057</x:v>
      </x:c>
      <x:c r="B61" s="8" t="str">
        <x:v>ED-0052</x:v>
      </x:c>
      <x:c r="C61" s="8" t="str">
        <x:v>Primavera do Leste</x:v>
      </x:c>
      <x:c r="D61" s="8" t="str">
        <x:v>Aviso</x:v>
      </x:c>
      <x:c r="E61" s="8" t="str">
        <x:v>DOC-0057.pdf</x:v>
      </x:c>
      <x:c r="F61" s="8" t="str">
        <x:v>https://drive.google.com/file/d/1FTJ9Bu_XxE5WkradLZtsquDo3YF36RU2/view?usp=drive_link</x:v>
      </x:c>
      <x:c r="G61" s="8" t="str">
        <x:v>PDF</x:v>
      </x:c>
      <x:c r="H61" s="8" t="n">
        <x:v>1</x:v>
      </x:c>
      <x:c r="I61" s="8" t="str">
        <x:v>f54c7bef910089b0188853f7a3c3c0dd41dcb031b379eb58d5c3d2adbc2c35fb</x:v>
      </x:c>
      <x:c r="J61" s="12" t="d">
        <x:v>2026-10-12T12:00:00.000Z</x:v>
      </x:c>
      <x:c r="K61" s="8" t="str">
        <x:v>BAIXADO_VALIDADO</x:v>
      </x:c>
      <x:c r="L61" s="8" t="str">
        <x:v>PNAE_MT_2025/10_PRIMAVERA_DO_LESTE/DOC-0057_DOC-0057.pdf</x:v>
      </x:c>
      <x:c r="M61" s="8" t="str">
        <x:v>DOC-0056</x:v>
      </x:c>
      <x:c r="N61" s="8" t="str">
        <x:v>Página do Diário Oficial com múltiplos avisos. Vínculo vem do contexto da publicação; falta conferir o edital integral. Arquivo binariamente igual a DOC-0056.</x:v>
      </x:c>
    </x:row>
    <x:row r="62" ht="84" customHeight="1">
      <x:c r="A62" s="8" t="str">
        <x:v>DOC-0058</x:v>
      </x:c>
      <x:c r="B62" s="8" t="str">
        <x:v>ED-0053</x:v>
      </x:c>
      <x:c r="C62" s="8" t="str">
        <x:v>Primavera do Leste</x:v>
      </x:c>
      <x:c r="D62" s="8" t="str">
        <x:v>Aviso</x:v>
      </x:c>
      <x:c r="E62" s="8" t="str">
        <x:v>DOC-0058.pdf</x:v>
      </x:c>
      <x:c r="F62" s="8" t="str">
        <x:v>https://drive.google.com/file/d/1dtNrtzLzqkJuIbrhMuc4slA3lF2xIX5M/view?usp=drive_link</x:v>
      </x:c>
      <x:c r="G62" s="8" t="str">
        <x:v>PDF</x:v>
      </x:c>
      <x:c r="H62" s="8" t="n">
        <x:v>1</x:v>
      </x:c>
      <x:c r="I62" s="8" t="str">
        <x:v>f54c7bef910089b0188853f7a3c3c0dd41dcb031b379eb58d5c3d2adbc2c35fb</x:v>
      </x:c>
      <x:c r="J62" s="12" t="d">
        <x:v>2026-10-12T12:00:00.000Z</x:v>
      </x:c>
      <x:c r="K62" s="8" t="str">
        <x:v>BAIXADO_VALIDADO</x:v>
      </x:c>
      <x:c r="L62" s="8" t="str">
        <x:v>PNAE_MT_2025/10_PRIMAVERA_DO_LESTE/DOC-0058_DOC-0058.pdf</x:v>
      </x:c>
      <x:c r="M62" s="8" t="str">
        <x:v>DOC-0056</x:v>
      </x:c>
      <x:c r="N62" s="8" t="str">
        <x:v>Página do Diário Oficial com múltiplos avisos. Vínculo vem do contexto da publicação; falta conferir o edital integral. Arquivo binariamente igual a DOC-0056.</x:v>
      </x:c>
    </x:row>
    <x:row r="63" ht="84" customHeight="1">
      <x:c r="A63" s="8" t="str">
        <x:v>DOC-0059</x:v>
      </x:c>
      <x:c r="B63" s="8" t="str">
        <x:v>ED-0054</x:v>
      </x:c>
      <x:c r="C63" s="8" t="str">
        <x:v>Primavera do Leste</x:v>
      </x:c>
      <x:c r="D63" s="8" t="str">
        <x:v>Aviso</x:v>
      </x:c>
      <x:c r="E63" s="8" t="str">
        <x:v>DOC-0059.pdf</x:v>
      </x:c>
      <x:c r="F63" s="8" t="str">
        <x:v>https://drive.google.com/file/d/1Wjo67zqWJI8qfXZK9Y2pW5gBldH0eelK/view?usp=drive_link</x:v>
      </x:c>
      <x:c r="G63" s="8" t="str">
        <x:v>PDF</x:v>
      </x:c>
      <x:c r="H63" s="8" t="n">
        <x:v>1</x:v>
      </x:c>
      <x:c r="I63" s="8" t="str">
        <x:v>9add7924e69099a37e4f5a208489e533a5d9216891ad604d81e51184feb0745e</x:v>
      </x:c>
      <x:c r="J63" s="12" t="d">
        <x:v>2026-10-12T12:00:00.000Z</x:v>
      </x:c>
      <x:c r="K63" s="8" t="str">
        <x:v>BAIXADO_VALIDADO</x:v>
      </x:c>
      <x:c r="L63" s="8" t="str">
        <x:v>PNAE_MT_2025/10_PRIMAVERA_DO_LESTE/DOC-0059_DOC-0059.pdf</x:v>
      </x:c>
      <x:c r="M63" s="8" t="str">
        <x:v>DOC-0055</x:v>
      </x:c>
      <x:c r="N63" s="8" t="str">
        <x:v>Página do Diário Oficial com múltiplos avisos. Vínculo vem do contexto da publicação; falta conferir o edital integral. Arquivo binariamente igual a DOC-0055.</x:v>
      </x:c>
    </x:row>
    <x:row r="64" ht="84" customHeight="1">
      <x:c r="A64" s="8" t="str">
        <x:v>DOC-0060</x:v>
      </x:c>
      <x:c r="B64" s="8" t="str">
        <x:v>ED-0055</x:v>
      </x:c>
      <x:c r="C64" s="8" t="str">
        <x:v>Primavera do Leste</x:v>
      </x:c>
      <x:c r="D64" s="8" t="str">
        <x:v>Aviso</x:v>
      </x:c>
      <x:c r="E64" s="8" t="str">
        <x:v>DOC-0060.pdf</x:v>
      </x:c>
      <x:c r="F64" s="8" t="str">
        <x:v>https://drive.google.com/file/d/1g3_xIr5sW6SvM_nkHxgpULhhPnpQb0Us/view?usp=drive_link</x:v>
      </x:c>
      <x:c r="G64" s="8" t="str">
        <x:v>PDF</x:v>
      </x:c>
      <x:c r="H64" s="8" t="n">
        <x:v>1</x:v>
      </x:c>
      <x:c r="I64" s="8" t="str">
        <x:v>9add7924e69099a37e4f5a208489e533a5d9216891ad604d81e51184feb0745e</x:v>
      </x:c>
      <x:c r="J64" s="12" t="d">
        <x:v>2026-10-12T12:00:00.000Z</x:v>
      </x:c>
      <x:c r="K64" s="8" t="str">
        <x:v>BAIXADO_VALIDADO</x:v>
      </x:c>
      <x:c r="L64" s="8" t="str">
        <x:v>PNAE_MT_2025/10_PRIMAVERA_DO_LESTE/DOC-0060_DOC-0060.pdf</x:v>
      </x:c>
      <x:c r="M64" s="8" t="str">
        <x:v>DOC-0055</x:v>
      </x:c>
      <x:c r="N64" s="8" t="str">
        <x:v>Página do Diário Oficial com múltiplos avisos. Vínculo vem do contexto da publicação; falta conferir o edital integral. Arquivo binariamente igual a DOC-0055.</x:v>
      </x:c>
    </x:row>
    <x:row r="65" ht="84" customHeight="1">
      <x:c r="A65" s="8" t="str">
        <x:v>DOC-0061</x:v>
      </x:c>
      <x:c r="B65" s="8" t="str">
        <x:v>ED-0056</x:v>
      </x:c>
      <x:c r="C65" s="8" t="str">
        <x:v>Primavera do Leste</x:v>
      </x:c>
      <x:c r="D65" s="8" t="str">
        <x:v>Edital</x:v>
      </x:c>
      <x:c r="E65" s="8" t="str">
        <x:v>DOC-0061.pdf</x:v>
      </x:c>
      <x:c r="F65" s="8" t="str">
        <x:v>https://drive.google.com/file/d/1ItBdCrs3RwVBz8I9cZelgals7sts8Xpo/view?usp=drive_link</x:v>
      </x:c>
      <x:c r="G65" s="8" t="str">
        <x:v>PDF</x:v>
      </x:c>
      <x:c r="H65" s="8" t="n">
        <x:v>153</x:v>
      </x:c>
      <x:c r="I65" s="8" t="str">
        <x:v>581b745d79aa058f49880b605a5fbb173370d2fbfcac3d70efc0be1fe1bc44a9</x:v>
      </x:c>
      <x:c r="J65" s="12" t="d">
        <x:v>2026-10-12T12:00:00.000Z</x:v>
      </x:c>
      <x:c r="K65" s="8" t="str">
        <x:v>BAIXADO_VALIDADO</x:v>
      </x:c>
      <x:c r="L65" s="8" t="str">
        <x:v>PNAE_MT_2025/10_PRIMAVERA_DO_LESTE/DOC-0061_DOC-0061.pdf</x:v>
      </x:c>
      <x:c r="M65" s="8"/>
      <x:c r="N65" s="8" t="str">
        <x:v>Categoria separada da agricultura familiar. Não importar no módulo de chamadas públicas.</x:v>
      </x:c>
    </x:row>
    <x:row r="66" ht="84" customHeight="1">
      <x:c r="A66" s="8" t="str">
        <x:v>DOC-0062</x:v>
      </x:c>
      <x:c r="B66" s="8" t="str">
        <x:v>ED-0057</x:v>
      </x:c>
      <x:c r="C66" s="8" t="str">
        <x:v>Primavera do Leste</x:v>
      </x:c>
      <x:c r="D66" s="8" t="str">
        <x:v>Edital</x:v>
      </x:c>
      <x:c r="E66" s="8" t="str">
        <x:v>DOC-0062.pdf</x:v>
      </x:c>
      <x:c r="F66" s="8" t="str">
        <x:v>https://drive.google.com/file/d/1yVgl9BY0Wz6uLFZVFZ4dkGo9ce0Y5Rws/view?usp=drive_link</x:v>
      </x:c>
      <x:c r="G66" s="8" t="str">
        <x:v>PDF</x:v>
      </x:c>
      <x:c r="H66" s="8" t="n">
        <x:v>155</x:v>
      </x:c>
      <x:c r="I66" s="8" t="str">
        <x:v>1ee3b4b03bb4bb879a21e2da6a48392f560178ad2d8a9aa127299c68fcfaa284</x:v>
      </x:c>
      <x:c r="J66" s="12" t="d">
        <x:v>2026-10-12T12:00:00.000Z</x:v>
      </x:c>
      <x:c r="K66" s="8" t="str">
        <x:v>BAIXADO_VALIDADO</x:v>
      </x:c>
      <x:c r="L66" s="8" t="str">
        <x:v>PNAE_MT_2025/10_PRIMAVERA_DO_LESTE/DOC-0062_DOC-0062.pdf</x:v>
      </x:c>
      <x:c r="M66" s="8"/>
      <x:c r="N66" s="8" t="str">
        <x:v>Categoria separada da agricultura familiar. Não importar no módulo de chamadas públicas.</x:v>
      </x:c>
    </x:row>
    <x:row r="67" ht="84" customHeight="1">
      <x:c r="A67" s="8" t="str">
        <x:v>DOC-0063</x:v>
      </x:c>
      <x:c r="B67" s="8" t="str">
        <x:v>ED-0058</x:v>
      </x:c>
      <x:c r="C67" s="8" t="str">
        <x:v>Primavera do Leste</x:v>
      </x:c>
      <x:c r="D67" s="8" t="str">
        <x:v>Edital</x:v>
      </x:c>
      <x:c r="E67" s="8" t="str">
        <x:v>DOC-0063.pdf</x:v>
      </x:c>
      <x:c r="F67" s="8" t="str">
        <x:v>https://drive.google.com/file/d/1emDxv5nWFjaoF8by6LBj_bf-V7XRkhWI/view?usp=drive_link</x:v>
      </x:c>
      <x:c r="G67" s="8" t="str">
        <x:v>PDF</x:v>
      </x:c>
      <x:c r="H67" s="8" t="n">
        <x:v>156</x:v>
      </x:c>
      <x:c r="I67" s="8" t="str">
        <x:v>607c56ba70d0464706a09766f0d06ff11251377ce0eb31e4d3eae7fdd2a25ae1</x:v>
      </x:c>
      <x:c r="J67" s="12" t="d">
        <x:v>2026-10-12T12:00:00.000Z</x:v>
      </x:c>
      <x:c r="K67" s="8" t="str">
        <x:v>BAIXADO_VALIDADO</x:v>
      </x:c>
      <x:c r="L67" s="8" t="str">
        <x:v>PNAE_MT_2025/10_PRIMAVERA_DO_LESTE/DOC-0063_DOC-0063.pdf</x:v>
      </x:c>
      <x:c r="M67" s="8"/>
      <x:c r="N67" s="8" t="str">
        <x:v>Categoria separada da agricultura familiar. Não importar no módulo de chamadas públicas.</x:v>
      </x:c>
    </x:row>
    <x:row r="68" ht="84" customHeight="1">
      <x:c r="A68" s="8" t="str">
        <x:v>DOC-0064</x:v>
      </x:c>
      <x:c r="B68" s="8" t="str">
        <x:v>ED-0058</x:v>
      </x:c>
      <x:c r="C68" s="8" t="str">
        <x:v>Primavera do Leste</x:v>
      </x:c>
      <x:c r="D68" s="8" t="str">
        <x:v>Retificação</x:v>
      </x:c>
      <x:c r="E68" s="8" t="str">
        <x:v>DOC-0064.pdf</x:v>
      </x:c>
      <x:c r="F68" s="8" t="str">
        <x:v>https://drive.google.com/file/d/12WEnfdGO3zodvyV-VEijU-t4IwtXviro/view?usp=drive_link</x:v>
      </x:c>
      <x:c r="G68" s="8" t="str">
        <x:v>PDF</x:v>
      </x:c>
      <x:c r="H68" s="8" t="n">
        <x:v>1</x:v>
      </x:c>
      <x:c r="I68" s="8" t="str">
        <x:v>4d1c8c34b261b2f1d4cc49d9bba95b96a459635809d1be7017a5e360f7c70ce7</x:v>
      </x:c>
      <x:c r="J68" s="12" t="d">
        <x:v>2026-10-12T12:00:00.000Z</x:v>
      </x:c>
      <x:c r="K68" s="8" t="str">
        <x:v>BAIXADO_VALIDADO</x:v>
      </x:c>
      <x:c r="L68" s="8" t="str">
        <x:v>PNAE_MT_2025/10_PRIMAVERA_DO_LESTE/DOC-0064_DOC-0064.pdf</x:v>
      </x:c>
      <x:c r="M68" s="8"/>
      <x:c r="N68" s="8" t="str">
        <x:v>Categoria separada da agricultura familiar. Não importar no módulo de chamadas públicas.</x:v>
      </x:c>
    </x:row>
    <x:row r="69" ht="84" customHeight="1">
      <x:c r="A69" s="8" t="str">
        <x:v>DOC-0065</x:v>
      </x:c>
      <x:c r="B69" s="8" t="str">
        <x:v>ED-0049</x:v>
      </x:c>
      <x:c r="C69" s="8" t="str">
        <x:v>Primavera do Leste</x:v>
      </x:c>
      <x:c r="D69" s="8" t="str">
        <x:v>Edital</x:v>
      </x:c>
      <x:c r="E69" s="8" t="str">
        <x:v>DOC-0065.pdf</x:v>
      </x:c>
      <x:c r="F69" s="8" t="str">
        <x:v>https://drive.google.com/file/d/1jvcAeDDGc-PaBDXrTRLiD2QbzJjaOhvE/view?usp=drive_link</x:v>
      </x:c>
      <x:c r="G69" s="8" t="str">
        <x:v>PDF</x:v>
      </x:c>
      <x:c r="H69" s="8" t="n">
        <x:v>172</x:v>
      </x:c>
      <x:c r="I69" s="8" t="str">
        <x:v>9e9cce92e2f1af5ed987925f966272f2bd670ef2e28e4f88a393dbf029c89901</x:v>
      </x:c>
      <x:c r="J69" s="12" t="d">
        <x:v>2026-10-12T12:00:00.000Z</x:v>
      </x:c>
      <x:c r="K69" s="8" t="str">
        <x:v>BAIXADO_VALIDADO</x:v>
      </x:c>
      <x:c r="L69" s="8" t="str">
        <x:v>PNAE_MT_2025/10_PRIMAVERA_DO_LESTE/DOC-0065_DOC-0065.pdf</x:v>
      </x:c>
      <x:c r="M69" s="8"/>
      <x:c r="N69" s="8" t="str">
        <x:v>Categoria separada da agricultura familiar. Não importar no módulo de chamadas públicas.</x:v>
      </x:c>
    </x:row>
    <x:row r="70" ht="84" customHeight="1">
      <x:c r="A70" s="8" t="str">
        <x:v>DOC-0066</x:v>
      </x:c>
      <x:c r="B70" s="8" t="str">
        <x:v>ED-0051</x:v>
      </x:c>
      <x:c r="C70" s="8" t="str">
        <x:v>Primavera do Leste</x:v>
      </x:c>
      <x:c r="D70" s="8" t="str">
        <x:v>Edital</x:v>
      </x:c>
      <x:c r="E70" s="8" t="str">
        <x:v>DOC-0066.pdf</x:v>
      </x:c>
      <x:c r="F70" s="8" t="str">
        <x:v>https://drive.google.com/file/d/10Goz6E9hSipACxJ1artyZEApT2JJcnuW/view?usp=drive_link</x:v>
      </x:c>
      <x:c r="G70" s="8" t="str">
        <x:v>PDF</x:v>
      </x:c>
      <x:c r="H70" s="8" t="n">
        <x:v>147</x:v>
      </x:c>
      <x:c r="I70" s="8" t="str">
        <x:v>b691d4486cf0ae6796be44f590dd994126b84498cccbae160deaf8dddc7baab4</x:v>
      </x:c>
      <x:c r="J70" s="12" t="d">
        <x:v>2026-10-12T12:00:00.000Z</x:v>
      </x:c>
      <x:c r="K70" s="8" t="str">
        <x:v>BAIXADO_VALIDADO</x:v>
      </x:c>
      <x:c r="L70" s="8" t="str">
        <x:v>PNAE_MT_2025/10_PRIMAVERA_DO_LESTE/DOC-0066_DOC-0066.pdf</x:v>
      </x:c>
      <x:c r="M70" s="8"/>
      <x:c r="N70" s="8" t="str">
        <x:v>Categoria separada da agricultura familiar. Não importar no módulo de chamadas públicas.</x:v>
      </x:c>
    </x:row>
    <x:row r="71" ht="84" customHeight="1">
      <x:c r="A71" s="8" t="str">
        <x:v>DOC-0067</x:v>
      </x:c>
      <x:c r="B71" s="8" t="str">
        <x:v>ED-0059</x:v>
      </x:c>
      <x:c r="C71" s="8" t="str">
        <x:v>Primavera do Leste</x:v>
      </x:c>
      <x:c r="D71" s="8" t="str">
        <x:v>Edital</x:v>
      </x:c>
      <x:c r="E71" s="8" t="str">
        <x:v>DOC-0067.pdf</x:v>
      </x:c>
      <x:c r="F71" s="8" t="str">
        <x:v>https://drive.google.com/file/d/1v1ohSPNAWg3LbfVB1Cm6fjMFnLOaAlkF/view?usp=drive_link</x:v>
      </x:c>
      <x:c r="G71" s="8" t="str">
        <x:v>PDF</x:v>
      </x:c>
      <x:c r="H71" s="8" t="n">
        <x:v>151</x:v>
      </x:c>
      <x:c r="I71" s="8" t="str">
        <x:v>822f7a5c0dac1f03c47fd8dbdcc1d0e720c512a8b5e6aeab939124ff42ceb8bb</x:v>
      </x:c>
      <x:c r="J71" s="12" t="d">
        <x:v>2026-10-12T12:00:00.000Z</x:v>
      </x:c>
      <x:c r="K71" s="8" t="str">
        <x:v>BAIXADO_VALIDADO</x:v>
      </x:c>
      <x:c r="L71" s="8" t="str">
        <x:v>PNAE_MT_2025/10_PRIMAVERA_DO_LESTE/DOC-0067_DOC-0067.pdf</x:v>
      </x:c>
      <x:c r="M71" s="8"/>
      <x:c r="N71" s="8" t="str">
        <x:v>Categoria separada da agricultura familiar. Não importar no módulo de chamadas públicas.</x:v>
      </x:c>
    </x:row>
    <x:row r="72" ht="84" customHeight="1">
      <x:c r="A72" s="8" t="str">
        <x:v>DOC-0068</x:v>
      </x:c>
      <x:c r="B72" s="8" t="str">
        <x:v>ED-0060</x:v>
      </x:c>
      <x:c r="C72" s="8" t="str">
        <x:v>Primavera do Leste</x:v>
      </x:c>
      <x:c r="D72" s="8" t="str">
        <x:v>Edital</x:v>
      </x:c>
      <x:c r="E72" s="8" t="str">
        <x:v>DOC-0068.pdf</x:v>
      </x:c>
      <x:c r="F72" s="8" t="str">
        <x:v>https://drive.google.com/file/d/1c3mdaljKRtqfPkjJRLTdcDZ-poyAHTU6/view?usp=drive_link</x:v>
      </x:c>
      <x:c r="G72" s="8" t="str">
        <x:v>PDF</x:v>
      </x:c>
      <x:c r="H72" s="8" t="n">
        <x:v>180</x:v>
      </x:c>
      <x:c r="I72" s="8" t="str">
        <x:v>1b773a5f9549228757412b3fd2301f7cd3356a19c9347a6a9060682e8c4fb6c2</x:v>
      </x:c>
      <x:c r="J72" s="12" t="d">
        <x:v>2026-10-12T12:00:00.000Z</x:v>
      </x:c>
      <x:c r="K72" s="8" t="str">
        <x:v>BAIXADO_VALIDADO</x:v>
      </x:c>
      <x:c r="L72" s="8" t="str">
        <x:v>PNAE_MT_2025/10_PRIMAVERA_DO_LESTE/DOC-0068_DOC-0068.pdf</x:v>
      </x:c>
      <x:c r="M72" s="8"/>
      <x:c r="N72" s="8" t="str">
        <x:v>Categoria separada da agricultura familiar. Não importar no módulo de chamadas públicas.</x:v>
      </x:c>
    </x:row>
    <x:row r="73" ht="84" customHeight="1">
      <x:c r="A73" s="8" t="str">
        <x:v>DOC-0069</x:v>
      </x:c>
      <x:c r="B73" s="8" t="str">
        <x:v>ED-0061</x:v>
      </x:c>
      <x:c r="C73" s="8" t="str">
        <x:v>Primavera do Leste</x:v>
      </x:c>
      <x:c r="D73" s="8" t="str">
        <x:v>Edital</x:v>
      </x:c>
      <x:c r="E73" s="8" t="str">
        <x:v>DOC-0069.pdf</x:v>
      </x:c>
      <x:c r="F73" s="8" t="str">
        <x:v>https://drive.google.com/file/d/1t7mFIHJ17ZYchybLD1G5tdI7ckEUD56E/view?usp=drive_link</x:v>
      </x:c>
      <x:c r="G73" s="8" t="str">
        <x:v>PDF</x:v>
      </x:c>
      <x:c r="H73" s="8" t="n">
        <x:v>39</x:v>
      </x:c>
      <x:c r="I73" s="8" t="str">
        <x:v>9f319240ac4c2227935199b0a48138da5e03b3d40ac0ff141aa4e90707abedb6</x:v>
      </x:c>
      <x:c r="J73" s="12" t="d">
        <x:v>2026-10-12T12:00:00.000Z</x:v>
      </x:c>
      <x:c r="K73" s="8" t="str">
        <x:v>BAIXADO_VALIDADO</x:v>
      </x:c>
      <x:c r="L73" s="8" t="str">
        <x:v>PNAE_MT_2025/10_PRIMAVERA_DO_LESTE/DOC-0069_DOC-0069.pdf</x:v>
      </x:c>
      <x:c r="M73" s="8"/>
      <x:c r="N73" s="8" t="str">
        <x:v>Ano letivo de 2025 confirmado no PDF; dados extraídos sujeitos à conferência administrativa.</x:v>
      </x:c>
    </x:row>
    <x:row r="74" ht="84" customHeight="1">
      <x:c r="A74" s="8" t="str">
        <x:v>DOC-0070</x:v>
      </x:c>
      <x:c r="B74" s="8" t="str">
        <x:v>ED-0062</x:v>
      </x:c>
      <x:c r="C74" s="8" t="str">
        <x:v>Sinop</x:v>
      </x:c>
      <x:c r="D74" s="8" t="str">
        <x:v>Edital</x:v>
      </x:c>
      <x:c r="E74" s="8" t="str">
        <x:v>f8345a8a-c33f-4788-bfe9-fb15c23010b8.pdf</x:v>
      </x:c>
      <x:c r="F74" s="8" t="str">
        <x:v>https://dresinop.com.br/arquivos/f8345a8a-c33f-4788-bfe9-fb15c23010b8</x:v>
      </x:c>
      <x:c r="G74" s="8" t="str">
        <x:v>PDF</x:v>
      </x:c>
      <x:c r="H74" s="8" t="n">
        <x:v>48</x:v>
      </x:c>
      <x:c r="I74" s="8" t="str">
        <x:v>0f76a0d34c00d2fdf780548cdaa05691d368b978dcd9e9429a3728598f046494</x:v>
      </x:c>
      <x:c r="J74" s="12" t="d">
        <x:v>2026-10-12T12:00:00.000Z</x:v>
      </x:c>
      <x:c r="K74" s="8" t="str">
        <x:v>BAIXADO_VALIDADO</x:v>
      </x:c>
      <x:c r="L74" s="8" t="str">
        <x:v>PNAE_MT_2025/12_SINOP/DOC-0070_f8345a8a-c33f-4788-bfe9-fb15c23010b8.pdf</x:v>
      </x:c>
      <x:c r="M74" s="8"/>
      <x:c r="N74" s="8" t="str">
        <x:v>Ano letivo de 2025 confirmado no PDF; dados extraídos sujeitos à conferência administrativa.</x:v>
      </x:c>
    </x:row>
    <x:row r="75" ht="84" customHeight="1">
      <x:c r="A75" s="8" t="str">
        <x:v>DOC-0071</x:v>
      </x:c>
      <x:c r="B75" s="8" t="str">
        <x:v>ED-0063</x:v>
      </x:c>
      <x:c r="C75" s="8" t="str">
        <x:v>Sinop</x:v>
      </x:c>
      <x:c r="D75" s="8" t="str">
        <x:v>Edital</x:v>
      </x:c>
      <x:c r="E75" s="8" t="str">
        <x:v>d239737c-aa5b-4aa5-8c4f-98a1c89d4007.pdf</x:v>
      </x:c>
      <x:c r="F75" s="8" t="str">
        <x:v>https://dresinop.com.br/arquivos/d239737c-aa5b-4aa5-8c4f-98a1c89d4007</x:v>
      </x:c>
      <x:c r="G75" s="8" t="str">
        <x:v>PDF</x:v>
      </x:c>
      <x:c r="H75" s="8" t="n">
        <x:v>48</x:v>
      </x:c>
      <x:c r="I75" s="8" t="str">
        <x:v>03d9964a6bd6cc13756a96b30ff95942ae1314120fa11d858b1741171cf8e146</x:v>
      </x:c>
      <x:c r="J75" s="12" t="d">
        <x:v>2026-10-12T12:00:00.000Z</x:v>
      </x:c>
      <x:c r="K75" s="8" t="str">
        <x:v>BAIXADO_VALIDADO</x:v>
      </x:c>
      <x:c r="L75" s="8" t="str">
        <x:v>PNAE_MT_2025/12_SINOP/DOC-0071_d239737c-aa5b-4aa5-8c4f-98a1c89d4007.pdf</x:v>
      </x:c>
      <x:c r="M75" s="8"/>
      <x:c r="N75" s="8" t="str">
        <x:v>Ano letivo de 2025 confirmado no PDF; dados extraídos sujeitos à conferência administrativa.</x:v>
      </x:c>
    </x:row>
    <x:row r="76" ht="84" customHeight="1">
      <x:c r="A76" s="8" t="str">
        <x:v>DOC-0072</x:v>
      </x:c>
      <x:c r="B76" s="8" t="str">
        <x:v>ED-0064</x:v>
      </x:c>
      <x:c r="C76" s="8" t="str">
        <x:v>Sinop</x:v>
      </x:c>
      <x:c r="D76" s="8" t="str">
        <x:v>Edital</x:v>
      </x:c>
      <x:c r="E76" s="8" t="str">
        <x:v>d8539333-10b0-436d-be50-4bc6b6c5b940.pdf</x:v>
      </x:c>
      <x:c r="F76" s="8" t="str">
        <x:v>https://dresinop.com.br/arquivos/d8539333-10b0-436d-be50-4bc6b6c5b940</x:v>
      </x:c>
      <x:c r="G76" s="8" t="str">
        <x:v>PDF</x:v>
      </x:c>
      <x:c r="H76" s="8" t="n">
        <x:v>46</x:v>
      </x:c>
      <x:c r="I76" s="8" t="str">
        <x:v>ab31c1578f0b29725cf7a7b1eb9435e5623a4e7b84e60ea0e722650a226a0905</x:v>
      </x:c>
      <x:c r="J76" s="12" t="d">
        <x:v>2026-10-12T12:00:00.000Z</x:v>
      </x:c>
      <x:c r="K76" s="8" t="str">
        <x:v>BAIXADO_VALIDADO</x:v>
      </x:c>
      <x:c r="L76" s="8" t="str">
        <x:v>PNAE_MT_2025/12_SINOP/DOC-0072_d8539333-10b0-436d-be50-4bc6b6c5b940.pdf</x:v>
      </x:c>
      <x:c r="M76" s="8"/>
      <x:c r="N76" s="8" t="str">
        <x:v>Ano letivo de 2025 confirmado no PDF; dados extraídos sujeitos à conferência administrativa.</x:v>
      </x:c>
    </x:row>
    <x:row r="77" ht="84" customHeight="1">
      <x:c r="A77" s="8" t="str">
        <x:v>DOC-0073</x:v>
      </x:c>
      <x:c r="B77" s="8" t="str">
        <x:v>ED-0065</x:v>
      </x:c>
      <x:c r="C77" s="8" t="str">
        <x:v>Sinop</x:v>
      </x:c>
      <x:c r="D77" s="8" t="str">
        <x:v>Edital</x:v>
      </x:c>
      <x:c r="E77" s="8" t="str">
        <x:v>61522d8f-5478-4cdb-b7cf-0d7a17c56a27.pdf</x:v>
      </x:c>
      <x:c r="F77" s="8" t="str">
        <x:v>https://dresinop.com.br/arquivos/61522d8f-5478-4cdb-b7cf-0d7a17c56a27</x:v>
      </x:c>
      <x:c r="G77" s="8" t="str">
        <x:v>PDF</x:v>
      </x:c>
      <x:c r="H77" s="8" t="n">
        <x:v>45</x:v>
      </x:c>
      <x:c r="I77" s="8" t="str">
        <x:v>b1cc29648d514a1a665a3ba66fbae5ba99b9a466a340741cbad378bf447eb4e4</x:v>
      </x:c>
      <x:c r="J77" s="12" t="d">
        <x:v>2026-10-12T12:00:00.000Z</x:v>
      </x:c>
      <x:c r="K77" s="8" t="str">
        <x:v>BAIXADO_VALIDADO</x:v>
      </x:c>
      <x:c r="L77" s="8" t="str">
        <x:v>PNAE_MT_2025/12_SINOP/DOC-0073_61522d8f-5478-4cdb-b7cf-0d7a17c56a27.pdf</x:v>
      </x:c>
      <x:c r="M77" s="8"/>
      <x:c r="N77" s="8" t="str">
        <x:v>Ano letivo de 2025 confirmado no PDF; dados extraídos sujeitos à conferência administrativa.</x:v>
      </x:c>
    </x:row>
    <x:row r="78" ht="84" customHeight="1">
      <x:c r="A78" s="8" t="str">
        <x:v>DOC-0074</x:v>
      </x:c>
      <x:c r="B78" s="8" t="str">
        <x:v>ED-0066</x:v>
      </x:c>
      <x:c r="C78" s="8" t="str">
        <x:v>Sinop</x:v>
      </x:c>
      <x:c r="D78" s="8" t="str">
        <x:v>Edital</x:v>
      </x:c>
      <x:c r="E78" s="8" t="str">
        <x:v>1291cecc-6aa7-43bb-a549-a33b65843df9.pdf</x:v>
      </x:c>
      <x:c r="F78" s="8" t="str">
        <x:v>https://dresinop.com.br/arquivos/1291cecc-6aa7-43bb-a549-a33b65843df9</x:v>
      </x:c>
      <x:c r="G78" s="8" t="str">
        <x:v>PDF</x:v>
      </x:c>
      <x:c r="H78" s="8" t="n">
        <x:v>46</x:v>
      </x:c>
      <x:c r="I78" s="8" t="str">
        <x:v>bf22942ca40be8732567c762127f2468a42e6bbf1abe39fe8e0630302eb4d01c</x:v>
      </x:c>
      <x:c r="J78" s="12" t="d">
        <x:v>2026-10-12T12:00:00.000Z</x:v>
      </x:c>
      <x:c r="K78" s="8" t="str">
        <x:v>BAIXADO_VALIDADO</x:v>
      </x:c>
      <x:c r="L78" s="8" t="str">
        <x:v>PNAE_MT_2025/12_SINOP/DOC-0074_1291cecc-6aa7-43bb-a549-a33b65843df9.pdf</x:v>
      </x:c>
      <x:c r="M78" s="8"/>
      <x:c r="N78" s="8" t="str">
        <x:v>Ano letivo de 2025 confirmado no PDF; dados extraídos sujeitos à conferência administrativa.</x:v>
      </x:c>
    </x:row>
    <x:row r="79" ht="84" customHeight="1">
      <x:c r="A79" s="8" t="str">
        <x:v>DOC-0075</x:v>
      </x:c>
      <x:c r="B79" s="8" t="str">
        <x:v>ED-0067</x:v>
      </x:c>
      <x:c r="C79" s="8" t="str">
        <x:v>Sinop</x:v>
      </x:c>
      <x:c r="D79" s="8" t="str">
        <x:v>Edital</x:v>
      </x:c>
      <x:c r="E79" s="8" t="str">
        <x:v>bd759726-7290-4133-976b-096fd05bfc1b.pdf</x:v>
      </x:c>
      <x:c r="F79" s="8" t="str">
        <x:v>https://dresinop.com.br/arquivos/bd759726-7290-4133-976b-096fd05bfc1b</x:v>
      </x:c>
      <x:c r="G79" s="8" t="str">
        <x:v>PDF</x:v>
      </x:c>
      <x:c r="H79" s="8" t="n">
        <x:v>46</x:v>
      </x:c>
      <x:c r="I79" s="8" t="str">
        <x:v>8a16d34f9ab4358b448079e5cf6f7490f0ccb102dea7f378ec212ab7b888ce8a</x:v>
      </x:c>
      <x:c r="J79" s="12" t="d">
        <x:v>2026-10-12T12:00:00.000Z</x:v>
      </x:c>
      <x:c r="K79" s="8" t="str">
        <x:v>BAIXADO_VALIDADO</x:v>
      </x:c>
      <x:c r="L79" s="8" t="str">
        <x:v>PNAE_MT_2025/12_SINOP/DOC-0075_bd759726-7290-4133-976b-096fd05bfc1b.pdf</x:v>
      </x:c>
      <x:c r="M79" s="8"/>
      <x:c r="N79" s="8" t="str">
        <x:v>Ano letivo de 2025 confirmado no PDF; dados extraídos sujeitos à conferência administrativa. Capa/aviso contém “025/224”; portal e corpo identificam 025/2024. Preservar ambos e registrar erro material.</x:v>
      </x:c>
    </x:row>
    <x:row r="80" ht="84" customHeight="1">
      <x:c r="A80" s="8" t="str">
        <x:v>DOC-0076</x:v>
      </x:c>
      <x:c r="B80" s="8" t="str">
        <x:v>ED-0068</x:v>
      </x:c>
      <x:c r="C80" s="8" t="str">
        <x:v>Sinop</x:v>
      </x:c>
      <x:c r="D80" s="8" t="str">
        <x:v>Edital</x:v>
      </x:c>
      <x:c r="E80" s="8" t="str">
        <x:v>807e87cd-6ca6-45b4-be56-587562a0b377.pdf</x:v>
      </x:c>
      <x:c r="F80" s="8" t="str">
        <x:v>https://dresinop.com.br/arquivos/807e87cd-6ca6-45b4-be56-587562a0b377</x:v>
      </x:c>
      <x:c r="G80" s="8" t="str">
        <x:v>PDF</x:v>
      </x:c>
      <x:c r="H80" s="8" t="n">
        <x:v>58</x:v>
      </x:c>
      <x:c r="I80" s="8" t="str">
        <x:v>6b9bdbd7f008c80d6a506143849121a8d0d8ab8156b85a011d75f6219d377d3c</x:v>
      </x:c>
      <x:c r="J80" s="12" t="d">
        <x:v>2026-10-12T12:00:00.000Z</x:v>
      </x:c>
      <x:c r="K80" s="8" t="str">
        <x:v>BAIXADO_VALIDADO</x:v>
      </x:c>
      <x:c r="L80" s="8" t="str">
        <x:v>PNAE_MT_2025/12_SINOP/DOC-0076_807e87cd-6ca6-45b4-be56-587562a0b377.pdf</x:v>
      </x:c>
      <x:c r="M80" s="8"/>
      <x:c r="N80" s="8" t="str">
        <x:v>Ano letivo de 2025 confirmado no PDF; dados extraídos sujeitos à conferência administrativa.</x:v>
      </x:c>
    </x:row>
    <x:row r="81" ht="84" customHeight="1">
      <x:c r="A81" s="8" t="str">
        <x:v>DOC-0077</x:v>
      </x:c>
      <x:c r="B81" s="8" t="str">
        <x:v>ED-0069</x:v>
      </x:c>
      <x:c r="C81" s="8" t="str">
        <x:v>Sinop</x:v>
      </x:c>
      <x:c r="D81" s="8" t="str">
        <x:v>Edital</x:v>
      </x:c>
      <x:c r="E81" s="8" t="str">
        <x:v>762c78d9-033d-49a2-81cc-9952333825e8.pdf</x:v>
      </x:c>
      <x:c r="F81" s="8" t="str">
        <x:v>https://dresinop.com.br/arquivos/762c78d9-033d-49a2-81cc-9952333825e8</x:v>
      </x:c>
      <x:c r="G81" s="8" t="str">
        <x:v>PDF</x:v>
      </x:c>
      <x:c r="H81" s="8" t="n">
        <x:v>47</x:v>
      </x:c>
      <x:c r="I81" s="8" t="str">
        <x:v>ba01eeef6af084c0305148438e934110c4bdbe2dfd8d09cf0df871ae0e423417</x:v>
      </x:c>
      <x:c r="J81" s="12" t="d">
        <x:v>2026-10-12T12:00:00.000Z</x:v>
      </x:c>
      <x:c r="K81" s="8" t="str">
        <x:v>BAIXADO_VALIDADO</x:v>
      </x:c>
      <x:c r="L81" s="8" t="str">
        <x:v>PNAE_MT_2025/12_SINOP/DOC-0077_762c78d9-033d-49a2-81cc-9952333825e8.pdf</x:v>
      </x:c>
      <x:c r="M81" s="8"/>
      <x:c r="N81" s="8" t="str">
        <x:v>Ano letivo de 2025 confirmado no PDF; dados extraídos sujeitos à conferência administrativa.</x:v>
      </x:c>
    </x:row>
    <x:row r="82" ht="84" customHeight="1">
      <x:c r="A82" s="8" t="str">
        <x:v>DOC-0078</x:v>
      </x:c>
      <x:c r="B82" s="8" t="str">
        <x:v>ED-0070</x:v>
      </x:c>
      <x:c r="C82" s="8" t="str">
        <x:v>Sinop</x:v>
      </x:c>
      <x:c r="D82" s="8" t="str">
        <x:v>Edital</x:v>
      </x:c>
      <x:c r="E82" s="8" t="str">
        <x:v>7272d1c5-14fa-4d35-9416-fa978aae122e.pdf</x:v>
      </x:c>
      <x:c r="F82" s="8" t="str">
        <x:v>https://dresinop.com.br/arquivos/7272d1c5-14fa-4d35-9416-fa978aae122e</x:v>
      </x:c>
      <x:c r="G82" s="8" t="str">
        <x:v>PDF</x:v>
      </x:c>
      <x:c r="H82" s="8" t="n">
        <x:v>46</x:v>
      </x:c>
      <x:c r="I82" s="8" t="str">
        <x:v>40119a8a2cee41428e560c9eed04dc13357e112d1c104e7b8167acc4cd71a074</x:v>
      </x:c>
      <x:c r="J82" s="12" t="d">
        <x:v>2026-10-12T12:00:00.000Z</x:v>
      </x:c>
      <x:c r="K82" s="8" t="str">
        <x:v>BAIXADO_VALIDADO</x:v>
      </x:c>
      <x:c r="L82" s="8" t="str">
        <x:v>PNAE_MT_2025/12_SINOP/DOC-0078_7272d1c5-14fa-4d35-9416-fa978aae122e.pdf</x:v>
      </x:c>
      <x:c r="M82" s="8"/>
      <x:c r="N82" s="8" t="str">
        <x:v>Ano letivo de 2025 confirmado no PDF; dados extraídos sujeitos à conferência administrativa.</x:v>
      </x:c>
    </x:row>
    <x:row r="83" ht="84" customHeight="1">
      <x:c r="A83" s="8" t="str">
        <x:v>DOC-0079</x:v>
      </x:c>
      <x:c r="B83" s="8" t="str">
        <x:v>ED-0071</x:v>
      </x:c>
      <x:c r="C83" s="8" t="str">
        <x:v>Sinop</x:v>
      </x:c>
      <x:c r="D83" s="8" t="str">
        <x:v>Edital</x:v>
      </x:c>
      <x:c r="E83" s="8" t="str">
        <x:v>dc2650b4-75f5-4259-83e4-67d7ac91d586.pdf</x:v>
      </x:c>
      <x:c r="F83" s="8" t="str">
        <x:v>https://dresinop.com.br/arquivos/dc2650b4-75f5-4259-83e4-67d7ac91d586</x:v>
      </x:c>
      <x:c r="G83" s="8" t="str">
        <x:v>PDF</x:v>
      </x:c>
      <x:c r="H83" s="8" t="n">
        <x:v>44</x:v>
      </x:c>
      <x:c r="I83" s="8" t="str">
        <x:v>977796e27d450458f19961befa7b22d21abfc60dc95b48f23eef9e7c10d188b3</x:v>
      </x:c>
      <x:c r="J83" s="12" t="d">
        <x:v>2026-10-12T12:00:00.000Z</x:v>
      </x:c>
      <x:c r="K83" s="8" t="str">
        <x:v>BAIXADO_VALIDADO</x:v>
      </x:c>
      <x:c r="L83" s="8" t="str">
        <x:v>PNAE_MT_2025/12_SINOP/DOC-0079_dc2650b4-75f5-4259-83e4-67d7ac91d586.pdf</x:v>
      </x:c>
      <x:c r="M83" s="8"/>
      <x:c r="N83" s="8" t="str">
        <x:v>Ano letivo de 2025 confirmado no PDF; dados extraídos sujeitos à conferência administrativa.</x:v>
      </x:c>
    </x:row>
    <x:row r="84" ht="84" customHeight="1">
      <x:c r="A84" s="8" t="str">
        <x:v>DOC-0080</x:v>
      </x:c>
      <x:c r="B84" s="8" t="str">
        <x:v>ED-0072</x:v>
      </x:c>
      <x:c r="C84" s="8" t="str">
        <x:v>Sinop</x:v>
      </x:c>
      <x:c r="D84" s="8" t="str">
        <x:v>Edital</x:v>
      </x:c>
      <x:c r="E84" s="8" t="str">
        <x:v>912f5800-b74c-4a39-8a20-e86bacc363b1.pdf</x:v>
      </x:c>
      <x:c r="F84" s="8" t="str">
        <x:v>https://dresinop.com.br/arquivos/912f5800-b74c-4a39-8a20-e86bacc363b1</x:v>
      </x:c>
      <x:c r="G84" s="8" t="str">
        <x:v>PDF</x:v>
      </x:c>
      <x:c r="H84" s="8" t="n">
        <x:v>45</x:v>
      </x:c>
      <x:c r="I84" s="8" t="str">
        <x:v>221c671594b305a966ac3aa37341db920f36b30b0e6c7bdf7f5c8ded760d81bb</x:v>
      </x:c>
      <x:c r="J84" s="12" t="d">
        <x:v>2026-10-12T12:00:00.000Z</x:v>
      </x:c>
      <x:c r="K84" s="8" t="str">
        <x:v>BAIXADO_VALIDADO</x:v>
      </x:c>
      <x:c r="L84" s="8" t="str">
        <x:v>PNAE_MT_2025/12_SINOP/DOC-0080_912f5800-b74c-4a39-8a20-e86bacc363b1.pdf</x:v>
      </x:c>
      <x:c r="M84" s="8"/>
      <x:c r="N84" s="8" t="str">
        <x:v>Ano letivo de 2025 confirmado no PDF; dados extraídos sujeitos à conferência administrativa.</x:v>
      </x:c>
    </x:row>
    <x:row r="85" ht="84" customHeight="1">
      <x:c r="A85" s="8" t="str">
        <x:v>DOC-0081</x:v>
      </x:c>
      <x:c r="B85" s="8" t="str">
        <x:v>ED-0073</x:v>
      </x:c>
      <x:c r="C85" s="8" t="str">
        <x:v>Sinop</x:v>
      </x:c>
      <x:c r="D85" s="8" t="str">
        <x:v>Edital</x:v>
      </x:c>
      <x:c r="E85" s="8" t="str">
        <x:v>bd8b8e50-3336-4f3c-b477-295a07c42a73.pdf</x:v>
      </x:c>
      <x:c r="F85" s="8" t="str">
        <x:v>https://dresinop.com.br/arquivos/bd8b8e50-3336-4f3c-b477-295a07c42a73</x:v>
      </x:c>
      <x:c r="G85" s="8" t="str">
        <x:v>PDF</x:v>
      </x:c>
      <x:c r="H85" s="8" t="n">
        <x:v>46</x:v>
      </x:c>
      <x:c r="I85" s="8" t="str">
        <x:v>eedadd961f9129edd005e460367735429c76ca279d077b0bbb32d137def036de</x:v>
      </x:c>
      <x:c r="J85" s="12" t="d">
        <x:v>2026-10-12T12:00:00.000Z</x:v>
      </x:c>
      <x:c r="K85" s="8" t="str">
        <x:v>BAIXADO_VALIDADO</x:v>
      </x:c>
      <x:c r="L85" s="8" t="str">
        <x:v>PNAE_MT_2025/12_SINOP/DOC-0081_bd8b8e50-3336-4f3c-b477-295a07c42a73.pdf</x:v>
      </x:c>
      <x:c r="M85" s="8"/>
      <x:c r="N85" s="8" t="str">
        <x:v>Ano letivo de 2025 confirmado no PDF; dados extraídos sujeitos à conferência administrativa.</x:v>
      </x:c>
    </x:row>
    <x:row r="86" ht="84" customHeight="1">
      <x:c r="A86" s="8" t="str">
        <x:v>DOC-0082</x:v>
      </x:c>
      <x:c r="B86" s="8" t="str">
        <x:v>ED-0074</x:v>
      </x:c>
      <x:c r="C86" s="8" t="str">
        <x:v>Sinop</x:v>
      </x:c>
      <x:c r="D86" s="8" t="str">
        <x:v>Edital</x:v>
      </x:c>
      <x:c r="E86" s="8" t="str">
        <x:v>b3b243ae-9c6f-465d-b616-bbe843f76a0a.pdf</x:v>
      </x:c>
      <x:c r="F86" s="8" t="str">
        <x:v>https://dresinop.com.br/arquivos/b3b243ae-9c6f-465d-b616-bbe843f76a0a</x:v>
      </x:c>
      <x:c r="G86" s="8" t="str">
        <x:v>PDF</x:v>
      </x:c>
      <x:c r="H86" s="8" t="n">
        <x:v>49</x:v>
      </x:c>
      <x:c r="I86" s="8" t="str">
        <x:v>8ce6ca5cd9c8b5ece6340d72b6beb8925aec01825e57cf3b61f7907c17c6c4a8</x:v>
      </x:c>
      <x:c r="J86" s="12" t="d">
        <x:v>2026-10-12T12:00:00.000Z</x:v>
      </x:c>
      <x:c r="K86" s="8" t="str">
        <x:v>BAIXADO_VALIDADO</x:v>
      </x:c>
      <x:c r="L86" s="8" t="str">
        <x:v>PNAE_MT_2025/12_SINOP/DOC-0082_b3b243ae-9c6f-465d-b616-bbe843f76a0a.pdf</x:v>
      </x:c>
      <x:c r="M86" s="8"/>
      <x:c r="N86" s="8" t="str">
        <x:v>Ano letivo de 2025 confirmado no PDF; dados extraídos sujeitos à conferência administrativa.</x:v>
      </x:c>
    </x:row>
    <x:row r="87" ht="84" customHeight="1">
      <x:c r="A87" s="8" t="str">
        <x:v>DOC-0083</x:v>
      </x:c>
      <x:c r="B87" s="8" t="str">
        <x:v>ED-0075</x:v>
      </x:c>
      <x:c r="C87" s="8" t="str">
        <x:v>Sinop</x:v>
      </x:c>
      <x:c r="D87" s="8" t="str">
        <x:v>Edital</x:v>
      </x:c>
      <x:c r="E87" s="8" t="str">
        <x:v>60ecd063-24c4-4325-8689-129e23d2e25b.pdf</x:v>
      </x:c>
      <x:c r="F87" s="8" t="str">
        <x:v>https://dresinop.com.br/arquivos/60ecd063-24c4-4325-8689-129e23d2e25b</x:v>
      </x:c>
      <x:c r="G87" s="8" t="str">
        <x:v>PDF</x:v>
      </x:c>
      <x:c r="H87" s="8" t="n">
        <x:v>44</x:v>
      </x:c>
      <x:c r="I87" s="8" t="str">
        <x:v>e28cd7d28dce86a97d3fc6bdd1bff2d0e0a30b7a7ad519c78d97870d5663e2b7</x:v>
      </x:c>
      <x:c r="J87" s="12" t="d">
        <x:v>2026-10-12T12:00:00.000Z</x:v>
      </x:c>
      <x:c r="K87" s="8" t="str">
        <x:v>BAIXADO_VALIDADO</x:v>
      </x:c>
      <x:c r="L87" s="8" t="str">
        <x:v>PNAE_MT_2025/12_SINOP/DOC-0083_60ecd063-24c4-4325-8689-129e23d2e25b.pdf</x:v>
      </x:c>
      <x:c r="M87" s="8"/>
      <x:c r="N87" s="8" t="str">
        <x:v>Ano letivo de 2025 confirmado no PDF; dados extraídos sujeitos à conferência administrativa.</x:v>
      </x:c>
    </x:row>
    <x:row r="88" ht="84" customHeight="1">
      <x:c r="A88" s="8" t="str">
        <x:v>DOC-0084</x:v>
      </x:c>
      <x:c r="B88" s="8" t="str">
        <x:v>ED-0076</x:v>
      </x:c>
      <x:c r="C88" s="8" t="str">
        <x:v>Sinop</x:v>
      </x:c>
      <x:c r="D88" s="8" t="str">
        <x:v>Edital</x:v>
      </x:c>
      <x:c r="E88" s="8" t="str">
        <x:v>a27aaf3d-adc9-4b34-ba88-5755ae46e194.pdf</x:v>
      </x:c>
      <x:c r="F88" s="8" t="str">
        <x:v>https://dresinop.com.br/arquivos/a27aaf3d-adc9-4b34-ba88-5755ae46e194</x:v>
      </x:c>
      <x:c r="G88" s="8" t="str">
        <x:v>PDF</x:v>
      </x:c>
      <x:c r="H88" s="8" t="n">
        <x:v>45</x:v>
      </x:c>
      <x:c r="I88" s="8" t="str">
        <x:v>263ac10389d8e45d378b8a41a32d6f148c08a4307d77a52cb1f529dfb60cf6b5</x:v>
      </x:c>
      <x:c r="J88" s="12" t="d">
        <x:v>2026-10-12T12:00:00.000Z</x:v>
      </x:c>
      <x:c r="K88" s="8" t="str">
        <x:v>BAIXADO_VALIDADO</x:v>
      </x:c>
      <x:c r="L88" s="8" t="str">
        <x:v>PNAE_MT_2025/12_SINOP/DOC-0084_a27aaf3d-adc9-4b34-ba88-5755ae46e194.pdf</x:v>
      </x:c>
      <x:c r="M88" s="8"/>
      <x:c r="N88" s="8" t="str">
        <x:v>Ano letivo de 2025 confirmado no PDF; dados extraídos sujeitos à conferência administrativa.</x:v>
      </x:c>
    </x:row>
    <x:row r="89" ht="84" customHeight="1">
      <x:c r="A89" s="8" t="str">
        <x:v>DOC-0085</x:v>
      </x:c>
      <x:c r="B89" s="8" t="str">
        <x:v>ED-0077</x:v>
      </x:c>
      <x:c r="C89" s="8" t="str">
        <x:v>Sinop</x:v>
      </x:c>
      <x:c r="D89" s="8" t="str">
        <x:v>Edital</x:v>
      </x:c>
      <x:c r="E89" s="8" t="str">
        <x:v>754dca13-1a2d-4733-83a5-4bde5f1235ff.pdf</x:v>
      </x:c>
      <x:c r="F89" s="8" t="str">
        <x:v>https://dresinop.com.br/arquivos/754dca13-1a2d-4733-83a5-4bde5f1235ff</x:v>
      </x:c>
      <x:c r="G89" s="8" t="str">
        <x:v>PDF</x:v>
      </x:c>
      <x:c r="H89" s="8" t="n">
        <x:v>44</x:v>
      </x:c>
      <x:c r="I89" s="8" t="str">
        <x:v>0c72f3954b2570d240e7eb95620d340d5ccb266f3515f950de31e5ed5a981454</x:v>
      </x:c>
      <x:c r="J89" s="12" t="d">
        <x:v>2026-10-12T12:00:00.000Z</x:v>
      </x:c>
      <x:c r="K89" s="8" t="str">
        <x:v>BAIXADO_VALIDADO</x:v>
      </x:c>
      <x:c r="L89" s="8" t="str">
        <x:v>PNAE_MT_2025/12_SINOP/DOC-0085_754dca13-1a2d-4733-83a5-4bde5f1235ff.pdf</x:v>
      </x:c>
      <x:c r="M89" s="8"/>
      <x:c r="N89" s="8" t="str">
        <x:v>Ano letivo de 2025 confirmado no PDF; dados extraídos sujeitos à conferência administrativa.</x:v>
      </x:c>
    </x:row>
    <x:row r="90" ht="84" customHeight="1">
      <x:c r="A90" s="8" t="str">
        <x:v>DOC-0086</x:v>
      </x:c>
      <x:c r="B90" s="8" t="str">
        <x:v>ED-0078</x:v>
      </x:c>
      <x:c r="C90" s="8" t="str">
        <x:v>Sinop</x:v>
      </x:c>
      <x:c r="D90" s="8" t="str">
        <x:v>Edital</x:v>
      </x:c>
      <x:c r="E90" s="8" t="str">
        <x:v>8fdbdccf-4aac-4d5d-ab2a-951abaf48b1a.pdf</x:v>
      </x:c>
      <x:c r="F90" s="8" t="str">
        <x:v>https://dresinop.com.br/arquivos/8fdbdccf-4aac-4d5d-ab2a-951abaf48b1a</x:v>
      </x:c>
      <x:c r="G90" s="8" t="str">
        <x:v>PDF</x:v>
      </x:c>
      <x:c r="H90" s="8" t="n">
        <x:v>44</x:v>
      </x:c>
      <x:c r="I90" s="8" t="str">
        <x:v>12a864c79d6d329a76dcf25b6e8a9b648d5adb9c6d0e497e0c7a4a5c3e740006</x:v>
      </x:c>
      <x:c r="J90" s="12" t="d">
        <x:v>2026-10-12T12:00:00.000Z</x:v>
      </x:c>
      <x:c r="K90" s="8" t="str">
        <x:v>BAIXADO_VALIDADO</x:v>
      </x:c>
      <x:c r="L90" s="8" t="str">
        <x:v>PNAE_MT_2025/12_SINOP/DOC-0086_8fdbdccf-4aac-4d5d-ab2a-951abaf48b1a.pdf</x:v>
      </x:c>
      <x:c r="M90" s="8"/>
      <x:c r="N90" s="8" t="str">
        <x:v>Ano letivo de 2025 confirmado no PDF; dados extraídos sujeitos à conferência administrativa.</x:v>
      </x:c>
    </x:row>
    <x:row r="91" ht="84" customHeight="1">
      <x:c r="A91" s="8" t="str">
        <x:v>DOC-0087</x:v>
      </x:c>
      <x:c r="B91" s="8" t="str">
        <x:v>ED-0079</x:v>
      </x:c>
      <x:c r="C91" s="8" t="str">
        <x:v>Sinop</x:v>
      </x:c>
      <x:c r="D91" s="8" t="str">
        <x:v>Edital</x:v>
      </x:c>
      <x:c r="E91" s="8" t="str">
        <x:v>ef4983ae-d7b6-4e0d-85e2-21406a4505c3.pdf</x:v>
      </x:c>
      <x:c r="F91" s="8" t="str">
        <x:v>https://dresinop.com.br/arquivos/ef4983ae-d7b6-4e0d-85e2-21406a4505c3</x:v>
      </x:c>
      <x:c r="G91" s="8" t="str">
        <x:v>PDF</x:v>
      </x:c>
      <x:c r="H91" s="8" t="n">
        <x:v>45</x:v>
      </x:c>
      <x:c r="I91" s="8" t="str">
        <x:v>12a7f0e02d237989baf558887cd545044fc89c4c03af6c1132942e935b12fdcf</x:v>
      </x:c>
      <x:c r="J91" s="12" t="d">
        <x:v>2026-10-12T12:00:00.000Z</x:v>
      </x:c>
      <x:c r="K91" s="8" t="str">
        <x:v>BAIXADO_VALIDADO</x:v>
      </x:c>
      <x:c r="L91" s="8" t="str">
        <x:v>PNAE_MT_2025/12_SINOP/DOC-0087_ef4983ae-d7b6-4e0d-85e2-21406a4505c3.pdf</x:v>
      </x:c>
      <x:c r="M91" s="8"/>
      <x:c r="N91" s="8" t="str">
        <x:v>Ano letivo de 2025 confirmado no PDF; dados extraídos sujeitos à conferência administrativa.</x:v>
      </x:c>
    </x:row>
    <x:row r="92" ht="84" customHeight="1">
      <x:c r="A92" s="8" t="str">
        <x:v>DOC-0088</x:v>
      </x:c>
      <x:c r="B92" s="8" t="str">
        <x:v>ED-0080</x:v>
      </x:c>
      <x:c r="C92" s="8" t="str">
        <x:v>Tangará da Serra</x:v>
      </x:c>
      <x:c r="D92" s="8" t="str">
        <x:v>Edital</x:v>
      </x:c>
      <x:c r="E92" s="8" t="str">
        <x:v>DOC-0088.pdf</x:v>
      </x:c>
      <x:c r="F92" s="8" t="str">
        <x:v>https://drive.google.com/file/d/1G0ElLv1VSiTCNWNCDSnDbahxi7EA5DIk/view?usp=drive_link</x:v>
      </x:c>
      <x:c r="G92" s="8" t="str">
        <x:v>PDF</x:v>
      </x:c>
      <x:c r="H92" s="8"/>
      <x:c r="I92" s="8"/>
      <x:c r="J92" s="12"/>
      <x:c r="K92" s="8" t="str">
        <x:v>FALHA_DOWNLOAD</x:v>
      </x:c>
      <x:c r="L92" s="8"/>
      <x:c r="M92" s="8"/>
      <x:c r="N92" s="8" t="str">
        <x:v>Publicação histórica com sessão em janeiro de 2025; PDF retorna HTTP 404. Exercício ainda não conferido no arquivo.</x:v>
      </x:c>
    </x:row>
    <x:row r="93" ht="84" customHeight="1">
      <x:c r="A93" s="8" t="str">
        <x:v>DOC-0089</x:v>
      </x:c>
      <x:c r="B93" s="8" t="str">
        <x:v>ED-0081</x:v>
      </x:c>
      <x:c r="C93" s="8" t="str">
        <x:v>Tangará da Serra</x:v>
      </x:c>
      <x:c r="D93" s="8" t="str">
        <x:v>Edital</x:v>
      </x:c>
      <x:c r="E93" s="8" t="str">
        <x:v>DOC-0089.pdf</x:v>
      </x:c>
      <x:c r="F93" s="8" t="str">
        <x:v>https://drive.google.com/file/d/1pzC2qhTXj3QNZsbZ4fBSZSIkxT8H7X8_/view?usp=drive_link</x:v>
      </x:c>
      <x:c r="G93" s="8" t="str">
        <x:v>PDF</x:v>
      </x:c>
      <x:c r="H93" s="8"/>
      <x:c r="I93" s="8"/>
      <x:c r="J93" s="12"/>
      <x:c r="K93" s="8" t="str">
        <x:v>FALHA_DOWNLOAD</x:v>
      </x:c>
      <x:c r="L93" s="8"/>
      <x:c r="M93" s="8"/>
      <x:c r="N93" s="8" t="str">
        <x:v>Publicação histórica com sessão em janeiro de 2025; PDF retorna HTTP 404. Exercício ainda não conferido no arquivo.</x:v>
      </x:c>
    </x:row>
    <x:row r="94" ht="84" customHeight="1">
      <x:c r="A94" s="8" t="str">
        <x:v>DOC-0090</x:v>
      </x:c>
      <x:c r="B94" s="8" t="str">
        <x:v>ED-0082</x:v>
      </x:c>
      <x:c r="C94" s="8" t="str">
        <x:v>Tangará da Serra</x:v>
      </x:c>
      <x:c r="D94" s="8" t="str">
        <x:v>Edital</x:v>
      </x:c>
      <x:c r="E94" s="8" t="str">
        <x:v>DOC-0090.pdf</x:v>
      </x:c>
      <x:c r="F94" s="8" t="str">
        <x:v>https://drive.google.com/file/d/1xAysEQ2u520IYvXlbAJszLnxCjLWy1Gz/view?usp=drive_link</x:v>
      </x:c>
      <x:c r="G94" s="8" t="str">
        <x:v>PDF</x:v>
      </x:c>
      <x:c r="H94" s="8"/>
      <x:c r="I94" s="8"/>
      <x:c r="J94" s="12"/>
      <x:c r="K94" s="8" t="str">
        <x:v>FALHA_DOWNLOAD</x:v>
      </x:c>
      <x:c r="L94" s="8"/>
      <x:c r="M94" s="8"/>
      <x:c r="N94" s="8" t="str">
        <x:v>Publicação histórica com sessão em janeiro de 2025; PDF retorna HTTP 404. Exercício ainda não conferido no arquivo.</x:v>
      </x:c>
    </x:row>
    <x:row r="95" ht="84" customHeight="1">
      <x:c r="A95" s="8" t="str">
        <x:v>DOC-0091</x:v>
      </x:c>
      <x:c r="B95" s="8" t="str">
        <x:v>ED-0083</x:v>
      </x:c>
      <x:c r="C95" s="8" t="str">
        <x:v>Tangará da Serra</x:v>
      </x:c>
      <x:c r="D95" s="8" t="str">
        <x:v>Edital</x:v>
      </x:c>
      <x:c r="E95" s="8" t="str">
        <x:v>DOC-0091.pdf</x:v>
      </x:c>
      <x:c r="F95" s="8" t="str">
        <x:v>https://drive.google.com/file/d/1BcSqSk-pcRGIqwD1yMcrXcuqKncBeNHw/view?usp=drive_link</x:v>
      </x:c>
      <x:c r="G95" s="8" t="str">
        <x:v>PDF</x:v>
      </x:c>
      <x:c r="H95" s="8"/>
      <x:c r="I95" s="8"/>
      <x:c r="J95" s="12"/>
      <x:c r="K95" s="8" t="str">
        <x:v>FALHA_DOWNLOAD</x:v>
      </x:c>
      <x:c r="L95" s="8"/>
      <x:c r="M95" s="8"/>
      <x:c r="N95" s="8" t="str">
        <x:v>Publicação histórica com sessão em janeiro de 2025; PDF retorna HTTP 404. Exercício ainda não conferido no arquivo.</x:v>
      </x:c>
    </x:row>
    <x:row r="96" ht="84" customHeight="1">
      <x:c r="A96" s="8" t="str">
        <x:v>DOC-0092</x:v>
      </x:c>
      <x:c r="B96" s="8" t="str">
        <x:v>ED-0084</x:v>
      </x:c>
      <x:c r="C96" s="8" t="str">
        <x:v>Tangará da Serra</x:v>
      </x:c>
      <x:c r="D96" s="8" t="str">
        <x:v>Edital</x:v>
      </x:c>
      <x:c r="E96" s="8" t="str">
        <x:v>DOC-0092.pdf</x:v>
      </x:c>
      <x:c r="F96" s="8" t="str">
        <x:v>https://drive.google.com/file/d/1lx7feury5GzGqaYu3fxkf0wkzaG8yuSj/view?usp=drive_link</x:v>
      </x:c>
      <x:c r="G96" s="8" t="str">
        <x:v>PDF</x:v>
      </x:c>
      <x:c r="H96" s="8"/>
      <x:c r="I96" s="8"/>
      <x:c r="J96" s="12"/>
      <x:c r="K96" s="8" t="str">
        <x:v>FALHA_DOWNLOAD</x:v>
      </x:c>
      <x:c r="L96" s="8"/>
      <x:c r="M96" s="8"/>
      <x:c r="N96" s="8" t="str">
        <x:v>Publicação histórica com sessão em janeiro de 2025; PDF retorna HTTP 404. Exercício ainda não conferido no arquivo.</x:v>
      </x:c>
    </x:row>
    <x:row r="97" ht="84" customHeight="1">
      <x:c r="A97" s="8" t="str">
        <x:v>DOC-0093</x:v>
      </x:c>
      <x:c r="B97" s="8" t="str">
        <x:v>ED-0085</x:v>
      </x:c>
      <x:c r="C97" s="8" t="str">
        <x:v>Tangará da Serra</x:v>
      </x:c>
      <x:c r="D97" s="8" t="str">
        <x:v>Edital</x:v>
      </x:c>
      <x:c r="E97" s="8" t="str">
        <x:v>DOC-0093.pdf</x:v>
      </x:c>
      <x:c r="F97" s="8" t="str">
        <x:v>https://drive.google.com/file/d/1ByAy0T06Y7QG9YNM4ZIZbk_eHmbidlDv/view?usp=drive_link</x:v>
      </x:c>
      <x:c r="G97" s="8" t="str">
        <x:v>PDF</x:v>
      </x:c>
      <x:c r="H97" s="8"/>
      <x:c r="I97" s="8"/>
      <x:c r="J97" s="12"/>
      <x:c r="K97" s="8" t="str">
        <x:v>FALHA_DOWNLOAD</x:v>
      </x:c>
      <x:c r="L97" s="8"/>
      <x:c r="M97" s="8"/>
      <x:c r="N97" s="8" t="str">
        <x:v>Publicação histórica com sessão em janeiro de 2025; PDF retorna HTTP 404. Exercício ainda não conferido no arquivo.</x:v>
      </x:c>
    </x:row>
    <x:row r="98" ht="84" customHeight="1">
      <x:c r="A98" s="8" t="str">
        <x:v>DOC-0094</x:v>
      </x:c>
      <x:c r="B98" s="8" t="str">
        <x:v>ED-0086</x:v>
      </x:c>
      <x:c r="C98" s="8" t="str">
        <x:v>Tangará da Serra</x:v>
      </x:c>
      <x:c r="D98" s="8" t="str">
        <x:v>Edital</x:v>
      </x:c>
      <x:c r="E98" s="8" t="str">
        <x:v>DOC-0094.pdf</x:v>
      </x:c>
      <x:c r="F98" s="8" t="str">
        <x:v>https://drive.google.com/file/d/1QXgBS_ON4HEe4EP-0cBgF9LMN808hc0m/view?usp=drive_link</x:v>
      </x:c>
      <x:c r="G98" s="8" t="str">
        <x:v>PDF</x:v>
      </x:c>
      <x:c r="H98" s="8"/>
      <x:c r="I98" s="8"/>
      <x:c r="J98" s="12"/>
      <x:c r="K98" s="8" t="str">
        <x:v>FALHA_DOWNLOAD</x:v>
      </x:c>
      <x:c r="L98" s="8"/>
      <x:c r="M98" s="8"/>
      <x:c r="N98" s="8" t="str">
        <x:v>Publicação histórica com sessão em janeiro de 2025; PDF retorna HTTP 404. Exercício ainda não conferido no arquivo.</x:v>
      </x:c>
    </x:row>
    <x:row r="99" ht="84" customHeight="1">
      <x:c r="A99" s="8" t="str">
        <x:v>DOC-0095</x:v>
      </x:c>
      <x:c r="B99" s="8" t="str">
        <x:v>ED-0087</x:v>
      </x:c>
      <x:c r="C99" s="8" t="str">
        <x:v>Cáceres</x:v>
      </x:c>
      <x:c r="D99" s="8" t="str">
        <x:v>Pregão</x:v>
      </x:c>
      <x:c r="E99" s="8" t="str">
        <x:v>DOC-0095.pdf</x:v>
      </x:c>
      <x:c r="F99" s="8" t="str">
        <x:v>https://drive.google.com/file/d/1RPraEuk2hI9FQBZoJVwmMYSC-G6IsKq-/view</x:v>
      </x:c>
      <x:c r="G99" s="8" t="str">
        <x:v>PDF</x:v>
      </x:c>
      <x:c r="H99" s="8" t="n">
        <x:v>172</x:v>
      </x:c>
      <x:c r="I99" s="8" t="str">
        <x:v>8445360ae81c8f4e864a8de533d56a25ceecb491c8a9f18590f646866dee7a9b</x:v>
      </x:c>
      <x:c r="J99" s="12" t="d">
        <x:v>2026-10-12T12:00:00.000Z</x:v>
      </x:c>
      <x:c r="K99" s="8" t="str">
        <x:v>BAIXADO_VALIDADO</x:v>
      </x:c>
      <x:c r="L99" s="8" t="str">
        <x:v>PNAE_MT_2025/03_CACERES/DOC-0095_DOC-0095.pdf</x:v>
      </x:c>
      <x:c r="M99" s="8"/>
      <x:c r="N99" s="8" t="str">
        <x:v>Categoria separada da agricultura familiar. Não importar no módulo de chamadas públicas.</x:v>
      </x:c>
    </x:row>
    <x:row r="100" ht="84" customHeight="1">
      <x:c r="A100" s="8" t="str">
        <x:v>DOC-0096</x:v>
      </x:c>
      <x:c r="B100" s="8" t="str">
        <x:v>ED-0088</x:v>
      </x:c>
      <x:c r="C100" s="8" t="str">
        <x:v>Cáceres</x:v>
      </x:c>
      <x:c r="D100" s="8" t="str">
        <x:v>Pregão</x:v>
      </x:c>
      <x:c r="E100" s="8" t="str">
        <x:v>DOC-0096.pdf</x:v>
      </x:c>
      <x:c r="F100" s="8" t="str">
        <x:v>https://drive.google.com/file/d/1DLSem3a2G6qp_HVFAj6-37RRpgyjgEqH/view?usp=sharing</x:v>
      </x:c>
      <x:c r="G100" s="8" t="str">
        <x:v>PDF</x:v>
      </x:c>
      <x:c r="H100" s="8" t="n">
        <x:v>169</x:v>
      </x:c>
      <x:c r="I100" s="8" t="str">
        <x:v>d3c93e9005ded8ff810bafe2be1cb4f82e56da9076fc81641a3eb05c69fcc030</x:v>
      </x:c>
      <x:c r="J100" s="12" t="d">
        <x:v>2026-10-12T12:00:00.000Z</x:v>
      </x:c>
      <x:c r="K100" s="8" t="str">
        <x:v>BAIXADO_VALIDADO</x:v>
      </x:c>
      <x:c r="L100" s="8" t="str">
        <x:v>PNAE_MT_2025/03_CACERES/DOC-0096_DOC-0096.pdf</x:v>
      </x:c>
      <x:c r="M100" s="8"/>
      <x:c r="N100" s="8" t="str">
        <x:v>Categoria separada da agricultura familiar. Não importar no módulo de chamadas públicas.</x:v>
      </x:c>
    </x:row>
    <x:row r="101" ht="84" customHeight="1">
      <x:c r="A101" s="8" t="str">
        <x:v>DOC-0097</x:v>
      </x:c>
      <x:c r="B101" s="8" t="str">
        <x:v>ED-0089</x:v>
      </x:c>
      <x:c r="C101" s="8" t="str">
        <x:v>Cáceres</x:v>
      </x:c>
      <x:c r="D101" s="8" t="str">
        <x:v>Pregão</x:v>
      </x:c>
      <x:c r="E101" s="8" t="str">
        <x:v>DOC-0097.pdf</x:v>
      </x:c>
      <x:c r="F101" s="8" t="str">
        <x:v>https://drive.google.com/file/d/1j8USo6mX-z2qdQiot-c6bLJpSVuk500h/view?usp=sharing</x:v>
      </x:c>
      <x:c r="G101" s="8" t="str">
        <x:v>PDF</x:v>
      </x:c>
      <x:c r="H101" s="8" t="n">
        <x:v>171</x:v>
      </x:c>
      <x:c r="I101" s="8" t="str">
        <x:v>886a8ccd47a8216fb4e5bd2302889412d10ec58fa9fe002030df358c5ba032a4</x:v>
      </x:c>
      <x:c r="J101" s="12" t="d">
        <x:v>2026-10-12T12:00:00.000Z</x:v>
      </x:c>
      <x:c r="K101" s="8" t="str">
        <x:v>BAIXADO_VALIDADO</x:v>
      </x:c>
      <x:c r="L101" s="8" t="str">
        <x:v>PNAE_MT_2025/03_CACERES/DOC-0097_DOC-0097.pdf</x:v>
      </x:c>
      <x:c r="M101" s="8"/>
      <x:c r="N101" s="8" t="str">
        <x:v>Categoria separada da agricultura familiar. Não importar no módulo de chamadas públicas.</x:v>
      </x:c>
    </x:row>
    <x:row r="102" ht="84" customHeight="1">
      <x:c r="A102" s="8" t="str">
        <x:v>DOC-0098</x:v>
      </x:c>
      <x:c r="B102" s="8" t="str">
        <x:v>ED-0090</x:v>
      </x:c>
      <x:c r="C102" s="8" t="str">
        <x:v>Cáceres</x:v>
      </x:c>
      <x:c r="D102" s="8" t="str">
        <x:v>Pregão</x:v>
      </x:c>
      <x:c r="E102" s="8" t="str">
        <x:v>DOC-0098.pdf</x:v>
      </x:c>
      <x:c r="F102" s="8" t="str">
        <x:v>https://drive.google.com/file/d/1BDnloUNQArc6mq0YhfpAHz8Xjcz5E_sh/view?usp=sharing</x:v>
      </x:c>
      <x:c r="G102" s="8" t="str">
        <x:v>PDF</x:v>
      </x:c>
      <x:c r="H102" s="8" t="n">
        <x:v>173</x:v>
      </x:c>
      <x:c r="I102" s="8" t="str">
        <x:v>d574e764d69d716290c27d79ec53c88461d6cc32fae95d363fd989923ba682ca</x:v>
      </x:c>
      <x:c r="J102" s="12" t="d">
        <x:v>2026-10-12T12:00:00.000Z</x:v>
      </x:c>
      <x:c r="K102" s="8" t="str">
        <x:v>BAIXADO_VALIDADO</x:v>
      </x:c>
      <x:c r="L102" s="8" t="str">
        <x:v>PNAE_MT_2025/03_CACERES/DOC-0098_DOC-0098.pdf</x:v>
      </x:c>
      <x:c r="M102" s="8"/>
      <x:c r="N102" s="8" t="str">
        <x:v>Categoria separada da agricultura familiar. Não importar no módulo de chamadas públicas.</x:v>
      </x:c>
    </x:row>
    <x:row r="103" ht="84" customHeight="1">
      <x:c r="A103" s="8" t="str">
        <x:v>DOC-0099</x:v>
      </x:c>
      <x:c r="B103" s="8" t="str">
        <x:v>ED-0088</x:v>
      </x:c>
      <x:c r="C103" s="8" t="str">
        <x:v>Cáceres</x:v>
      </x:c>
      <x:c r="D103" s="8" t="str">
        <x:v>Pregão</x:v>
      </x:c>
      <x:c r="E103" s="8" t="str">
        <x:v>DOC-0099.pdf</x:v>
      </x:c>
      <x:c r="F103" s="8" t="str">
        <x:v>https://drive.google.com/file/d/1-_Iev2cSlCQPr-Q1-eTOlBQIEZpPJslQ/view?usp=sharing</x:v>
      </x:c>
      <x:c r="G103" s="8" t="str">
        <x:v>PDF</x:v>
      </x:c>
      <x:c r="H103" s="8" t="n">
        <x:v>169</x:v>
      </x:c>
      <x:c r="I103" s="8" t="str">
        <x:v>90512d41981b8e362e096c8c257ac8cb5a6d37a8e64695381098bcf22880d3a2</x:v>
      </x:c>
      <x:c r="J103" s="12" t="d">
        <x:v>2026-10-12T12:00:00.000Z</x:v>
      </x:c>
      <x:c r="K103" s="8" t="str">
        <x:v>BAIXADO_VALIDADO</x:v>
      </x:c>
      <x:c r="L103" s="8" t="str">
        <x:v>PNAE_MT_2025/03_CACERES/DOC-0099_DOC-0099.pdf</x:v>
      </x:c>
      <x:c r="M103" s="8"/>
      <x:c r="N103" s="8" t="str">
        <x:v>Categoria separada da agricultura familiar. Não importar no módulo de chamadas públicas.</x:v>
      </x:c>
    </x:row>
    <x:row r="104" ht="84" customHeight="1">
      <x:c r="A104" s="8" t="str">
        <x:v>DOC-0100</x:v>
      </x:c>
      <x:c r="B104" s="8" t="str">
        <x:v>ED-0089</x:v>
      </x:c>
      <x:c r="C104" s="8" t="str">
        <x:v>Cáceres</x:v>
      </x:c>
      <x:c r="D104" s="8" t="str">
        <x:v>Pregão</x:v>
      </x:c>
      <x:c r="E104" s="8" t="str">
        <x:v>DOC-0100.pdf</x:v>
      </x:c>
      <x:c r="F104" s="8" t="str">
        <x:v>https://drive.google.com/file/d/1wCzU3VdqfhLMmlMwAvvtQm3WKVwzkRUP/view?usp=sharing</x:v>
      </x:c>
      <x:c r="G104" s="8" t="str">
        <x:v>PDF</x:v>
      </x:c>
      <x:c r="H104" s="8" t="n">
        <x:v>171</x:v>
      </x:c>
      <x:c r="I104" s="8" t="str">
        <x:v>13a71d868e7393ffb2d84ad922b170f469ebf41fda7533cb7a6410448fb4e2d7</x:v>
      </x:c>
      <x:c r="J104" s="12" t="d">
        <x:v>2026-10-12T12:00:00.000Z</x:v>
      </x:c>
      <x:c r="K104" s="8" t="str">
        <x:v>BAIXADO_VALIDADO</x:v>
      </x:c>
      <x:c r="L104" s="8" t="str">
        <x:v>PNAE_MT_2025/03_CACERES/DOC-0100_DOC-0100.pdf</x:v>
      </x:c>
      <x:c r="M104" s="8"/>
      <x:c r="N104" s="8" t="str">
        <x:v>Categoria separada da agricultura familiar. Não importar no módulo de chamadas públicas.</x:v>
      </x:c>
    </x:row>
    <x:row r="105" ht="84" customHeight="1">
      <x:c r="A105" s="8" t="str">
        <x:v>DOC-0101</x:v>
      </x:c>
      <x:c r="B105" s="8" t="str">
        <x:v>ED-0091</x:v>
      </x:c>
      <x:c r="C105" s="8" t="str">
        <x:v>Cáceres</x:v>
      </x:c>
      <x:c r="D105" s="8" t="str">
        <x:v>Pregão</x:v>
      </x:c>
      <x:c r="E105" s="8" t="str">
        <x:v>DOC-0101.pdf</x:v>
      </x:c>
      <x:c r="F105" s="8" t="str">
        <x:v>https://drive.google.com/file/d/1Ky3eb9ihi1dvUE6o29vA_JjwKJbV5gnj/view?usp=sharing</x:v>
      </x:c>
      <x:c r="G105" s="8" t="str">
        <x:v>PDF</x:v>
      </x:c>
      <x:c r="H105" s="8" t="n">
        <x:v>170</x:v>
      </x:c>
      <x:c r="I105" s="8" t="str">
        <x:v>13bdedd466e9f2471ee8e18c8ac5ff2322f319975e3ae5175d065a7aa330451f</x:v>
      </x:c>
      <x:c r="J105" s="12" t="d">
        <x:v>2026-10-12T12:00:00.000Z</x:v>
      </x:c>
      <x:c r="K105" s="8" t="str">
        <x:v>BAIXADO_VALIDADO</x:v>
      </x:c>
      <x:c r="L105" s="8" t="str">
        <x:v>PNAE_MT_2025/03_CACERES/DOC-0101_DOC-0101.pdf</x:v>
      </x:c>
      <x:c r="M105" s="8"/>
      <x:c r="N105" s="8" t="str">
        <x:v>Categoria separada da agricultura familiar. Não importar no módulo de chamadas públicas.</x:v>
      </x:c>
    </x:row>
    <x:row r="106" ht="84" customHeight="1">
      <x:c r="A106" s="8" t="str">
        <x:v>DOC-0102</x:v>
      </x:c>
      <x:c r="B106" s="8" t="str">
        <x:v>ED-0092</x:v>
      </x:c>
      <x:c r="C106" s="8" t="str">
        <x:v>Alta Floresta</x:v>
      </x:c>
      <x:c r="D106" s="8" t="str">
        <x:v>Edital</x:v>
      </x:c>
      <x:c r="E106" s="8" t="str">
        <x:v>EDITAL-CHAMADA-PUBLICA-2025-Nova-Monte-Verde.pdf</x:v>
      </x:c>
      <x:c r="F106" s="8" t="str">
        <x:v>https://drealtafloresta.com.br/drealtafloresta/wp-content/uploads/2024/12/EDITAL-CHAMADA-PUBLICA-2025-Nova-Monte-Verde.pdf</x:v>
      </x:c>
      <x:c r="G106" s="8" t="str">
        <x:v>PDF</x:v>
      </x:c>
      <x:c r="H106" s="8" t="n">
        <x:v>30</x:v>
      </x:c>
      <x:c r="I106" s="8" t="str">
        <x:v>8fa60f754eec343f868e45d2bf4880a58bbe6ed997b8a5d4186a8c6abc2af0ed</x:v>
      </x:c>
      <x:c r="J106" s="12" t="d">
        <x:v>2026-10-12T12:00:00.000Z</x:v>
      </x:c>
      <x:c r="K106" s="8" t="str">
        <x:v>BAIXADO_VALIDADO</x:v>
      </x:c>
      <x:c r="L106" s="8" t="str">
        <x:v>PNAE_MT_2025/01_ALTA_FLORESTA/DOC-0102_EDITAL-CHAMADA-PUBLICA-2025-Nova-Monte-Verde.pdf</x:v>
      </x:c>
      <x:c r="M106" s="8"/>
      <x:c r="N106" s="8" t="str">
        <x:v>Ano letivo de 2025 confirmado no PDF; dados extraídos sujeitos à conferência administrativa.</x:v>
      </x:c>
    </x:row>
    <x:row r="107" ht="84" customHeight="1">
      <x:c r="A107" s="8" t="str">
        <x:v>DOC-0103</x:v>
      </x:c>
      <x:c r="B107" s="8" t="str">
        <x:v>ED-0093</x:v>
      </x:c>
      <x:c r="C107" s="8" t="str">
        <x:v>Alta Floresta</x:v>
      </x:c>
      <x:c r="D107" s="8" t="str">
        <x:v>Edital</x:v>
      </x:c>
      <x:c r="E107" s="8" t="str">
        <x:v>EDITAL-CHAMADA-PUBLICA-N.-BANDEIRANTES-014-24-ano-letivo-2025.pdf</x:v>
      </x:c>
      <x:c r="F107" s="8" t="str">
        <x:v>https://drealtafloresta.com.br/drealtafloresta/wp-content/uploads/2024/12/EDITAL-CHAMADA-PUBLICA-N.-BANDEIRANTES-014-24-ano-letivo-2025.pdf</x:v>
      </x:c>
      <x:c r="G107" s="8" t="str">
        <x:v>PDF</x:v>
      </x:c>
      <x:c r="H107" s="8" t="n">
        <x:v>30</x:v>
      </x:c>
      <x:c r="I107" s="8" t="str">
        <x:v>cecb1b75625b6af7b74086d871d5eb1d4a44a186d324ef50ca3eec8228f8c39e</x:v>
      </x:c>
      <x:c r="J107" s="12" t="d">
        <x:v>2026-10-12T12:00:00.000Z</x:v>
      </x:c>
      <x:c r="K107" s="8" t="str">
        <x:v>BAIXADO_VALIDADO</x:v>
      </x:c>
      <x:c r="L107" s="8" t="str">
        <x:v>PNAE_MT_2025/01_ALTA_FLORESTA/DOC-0103_EDITAL-CHAMADA-PUBLICA-N.-BANDEIRANTES-014-24-ano-letivo-2025.pdf</x:v>
      </x:c>
      <x:c r="M107" s="8"/>
      <x:c r="N107" s="8" t="str">
        <x:v>Ano letivo de 2025 confirmado no PDF; dados extraídos sujeitos à conferência administrativa.</x:v>
      </x:c>
    </x:row>
    <x:row r="108" ht="84" customHeight="1">
      <x:c r="A108" s="8" t="str">
        <x:v>DOC-0104</x:v>
      </x:c>
      <x:c r="B108" s="8" t="str">
        <x:v>ED-0094</x:v>
      </x:c>
      <x:c r="C108" s="8" t="str">
        <x:v>Alta Floresta</x:v>
      </x:c>
      <x:c r="D108" s="8" t="str">
        <x:v>Edital</x:v>
      </x:c>
      <x:c r="E108" s="8" t="str">
        <x:v>EDITAL-CHAMADA-PUBLICA-012-24-APIACAS-ano-letivo-2025-1.pdf</x:v>
      </x:c>
      <x:c r="F108" s="8" t="str">
        <x:v>https://drealtafloresta.com.br/drealtafloresta/wp-content/uploads/2024/12/EDITAL-CHAMADA-PUBLICA-012-24-APIACAS-ano-letivo-2025-1.pdf</x:v>
      </x:c>
      <x:c r="G108" s="8" t="str">
        <x:v>PDF</x:v>
      </x:c>
      <x:c r="H108" s="8" t="n">
        <x:v>30</x:v>
      </x:c>
      <x:c r="I108" s="8" t="str">
        <x:v>1a24966f54e1d488794a12ae0f1a8a6e3300d563ba17606ac50d943b995b2d97</x:v>
      </x:c>
      <x:c r="J108" s="12" t="d">
        <x:v>2026-10-12T12:00:00.000Z</x:v>
      </x:c>
      <x:c r="K108" s="8" t="str">
        <x:v>BAIXADO_VALIDADO</x:v>
      </x:c>
      <x:c r="L108" s="8" t="str">
        <x:v>PNAE_MT_2025/01_ALTA_FLORESTA/DOC-0104_EDITAL-CHAMADA-PUBLICA-012-24-APIACAS-ano-letivo-2025-1.pdf</x:v>
      </x:c>
      <x:c r="M108" s="8"/>
      <x:c r="N108" s="8" t="str">
        <x:v>Ano letivo de 2025 confirmado no PDF; dados extraídos sujeitos à conferência administrativa.</x:v>
      </x:c>
    </x:row>
    <x:row r="109" ht="84" customHeight="1">
      <x:c r="A109" s="8" t="str">
        <x:v>DOC-0105</x:v>
      </x:c>
      <x:c r="B109" s="8" t="str">
        <x:v>ED-0095</x:v>
      </x:c>
      <x:c r="C109" s="8" t="str">
        <x:v>Alta Floresta</x:v>
      </x:c>
      <x:c r="D109" s="8" t="str">
        <x:v>Edital</x:v>
      </x:c>
      <x:c r="E109" s="8" t="str">
        <x:v>EDITAL-CHAMADA-PUBLICA-NCN-010-24-ano-letivo-2025.pdf</x:v>
      </x:c>
      <x:c r="F109" s="8" t="str">
        <x:v>https://drealtafloresta.com.br/drealtafloresta/wp-content/uploads/2024/12/EDITAL-CHAMADA-PUBLICA-NCN-010-24-ano-letivo-2025.pdf</x:v>
      </x:c>
      <x:c r="G109" s="8" t="str">
        <x:v>PDF</x:v>
      </x:c>
      <x:c r="H109" s="8" t="n">
        <x:v>30</x:v>
      </x:c>
      <x:c r="I109" s="8" t="str">
        <x:v>ff9472a959ebe19868079701f912ddc8dfe69692b8c11edd2ae12ac68fe8a0bf</x:v>
      </x:c>
      <x:c r="J109" s="12" t="d">
        <x:v>2026-10-12T12:00:00.000Z</x:v>
      </x:c>
      <x:c r="K109" s="8" t="str">
        <x:v>BAIXADO_VALIDADO</x:v>
      </x:c>
      <x:c r="L109" s="8" t="str">
        <x:v>PNAE_MT_2025/01_ALTA_FLORESTA/DOC-0105_EDITAL-CHAMADA-PUBLICA-NCN-010-24-ano-letivo-2025.pdf</x:v>
      </x:c>
      <x:c r="M109" s="8"/>
      <x:c r="N109" s="8" t="str">
        <x:v>Ano letivo de 2025 confirmado no PDF; dados extraídos sujeitos à conferência administrativa.</x:v>
      </x:c>
    </x:row>
    <x:row r="110" ht="84" customHeight="1">
      <x:c r="A110" s="8" t="str">
        <x:v>DOC-0106</x:v>
      </x:c>
      <x:c r="B110" s="8" t="str">
        <x:v>ED-0096</x:v>
      </x:c>
      <x:c r="C110" s="8" t="str">
        <x:v>Alta Floresta</x:v>
      </x:c>
      <x:c r="D110" s="8" t="str">
        <x:v>Edital</x:v>
      </x:c>
      <x:c r="E110" s="8" t="str">
        <x:v>EDITAL-CHAMADA-PUBLICA-No-009-24-CARLINDA-Ano-letivo-2025-1.pdf</x:v>
      </x:c>
      <x:c r="F110" s="8" t="str">
        <x:v>https://drealtafloresta.com.br/drealtafloresta/wp-content/uploads/2024/12/EDITAL-CHAMADA-PUBLICA-No-009-24-CARLINDA-Ano-letivo-2025-1.pdf</x:v>
      </x:c>
      <x:c r="G110" s="8" t="str">
        <x:v>PDF</x:v>
      </x:c>
      <x:c r="H110" s="8" t="n">
        <x:v>31</x:v>
      </x:c>
      <x:c r="I110" s="8" t="str">
        <x:v>612af8380b6cf5c454384d432bd671f6ed9da90152fcf5518db57c8f5f6d38fe</x:v>
      </x:c>
      <x:c r="J110" s="12" t="d">
        <x:v>2026-10-12T12:00:00.000Z</x:v>
      </x:c>
      <x:c r="K110" s="8" t="str">
        <x:v>BAIXADO_VALIDADO</x:v>
      </x:c>
      <x:c r="L110" s="8" t="str">
        <x:v>PNAE_MT_2025/01_ALTA_FLORESTA/DOC-0106_EDITAL-CHAMADA-PUBLICA-No-009-24-CARLINDA-Ano-letivo-2025-1.pdf</x:v>
      </x:c>
      <x:c r="M110" s="8"/>
      <x:c r="N110" s="8" t="str">
        <x:v>Ano letivo de 2025 confirmado no PDF; dados extraídos sujeitos à conferência administrativa.</x:v>
      </x:c>
    </x:row>
    <x:row r="111" ht="84" customHeight="1">
      <x:c r="A111" s="8" t="str">
        <x:v>DOC-0107</x:v>
      </x:c>
      <x:c r="B111" s="8" t="str">
        <x:v>ED-0097</x:v>
      </x:c>
      <x:c r="C111" s="8" t="str">
        <x:v>Alta Floresta</x:v>
      </x:c>
      <x:c r="D111" s="8" t="str">
        <x:v>Edital</x:v>
      </x:c>
      <x:c r="E111" s="8" t="str">
        <x:v>EDITAL-CHAMADA-PUBLICA-011-24-PTA-ano-letivo-2025-1.pdf</x:v>
      </x:c>
      <x:c r="F111" s="8" t="str">
        <x:v>https://drealtafloresta.com.br/drealtafloresta/wp-content/uploads/2024/12/EDITAL-CHAMADA-PUBLICA-011-24-PTA-ano-letivo-2025-1.pdf</x:v>
      </x:c>
      <x:c r="G111" s="8" t="str">
        <x:v>PDF</x:v>
      </x:c>
      <x:c r="H111" s="8" t="n">
        <x:v>31</x:v>
      </x:c>
      <x:c r="I111" s="8" t="str">
        <x:v>45a017a877f7fcc5abe704cc89351b8cc85181434f62ed5f3f20fd1126137eb4</x:v>
      </x:c>
      <x:c r="J111" s="12" t="d">
        <x:v>2026-10-12T12:00:00.000Z</x:v>
      </x:c>
      <x:c r="K111" s="8" t="str">
        <x:v>BAIXADO_VALIDADO</x:v>
      </x:c>
      <x:c r="L111" s="8" t="str">
        <x:v>PNAE_MT_2025/01_ALTA_FLORESTA/DOC-0107_EDITAL-CHAMADA-PUBLICA-011-24-PTA-ano-letivo-2025-1.pdf</x:v>
      </x:c>
      <x:c r="M111" s="8"/>
      <x:c r="N111" s="8" t="str">
        <x:v>Ano letivo de 2025 confirmado no PDF; dados extraídos sujeitos à conferência administrativa.</x:v>
      </x:c>
    </x:row>
    <x:row r="112" ht="84" customHeight="1">
      <x:c r="A112" s="8" t="str">
        <x:v>DOC-0108</x:v>
      </x:c>
      <x:c r="B112" s="8" t="str">
        <x:v>ED-0098</x:v>
      </x:c>
      <x:c r="C112" s="8" t="str">
        <x:v>Alta Floresta</x:v>
      </x:c>
      <x:c r="D112" s="8" t="str">
        <x:v>Edital</x:v>
      </x:c>
      <x:c r="E112" s="8" t="str">
        <x:v>EDITAL-CHAMADA-PUBLICA-008-24-AF-ano-letivo-2025.pdf</x:v>
      </x:c>
      <x:c r="F112" s="8" t="str">
        <x:v>https://drealtafloresta.com.br/drealtafloresta/wp-content/uploads/2024/12/EDITAL-CHAMADA-PUBLICA-008-24-AF-ano-letivo-2025.pdf</x:v>
      </x:c>
      <x:c r="G112" s="8" t="str">
        <x:v>PDF</x:v>
      </x:c>
      <x:c r="H112" s="8" t="n">
        <x:v>34</x:v>
      </x:c>
      <x:c r="I112" s="8" t="str">
        <x:v>95ba50e2826937b99aa12fcf87f3eebd6f098f11bde0563299e0a1b662f95608</x:v>
      </x:c>
      <x:c r="J112" s="12" t="d">
        <x:v>2026-10-12T12:00:00.000Z</x:v>
      </x:c>
      <x:c r="K112" s="8" t="str">
        <x:v>BAIXADO_VALIDADO</x:v>
      </x:c>
      <x:c r="L112" s="8" t="str">
        <x:v>PNAE_MT_2025/01_ALTA_FLORESTA/DOC-0108_EDITAL-CHAMADA-PUBLICA-008-24-AF-ano-letivo-2025.pdf</x:v>
      </x:c>
      <x:c r="M112" s="8"/>
      <x:c r="N112" s="8" t="str">
        <x:v>Ano letivo de 2025 confirmado no PDF; dados extraídos sujeitos à conferência administrativa.</x:v>
      </x:c>
    </x:row>
    <x:row r="113" ht="84" customHeight="1">
      <x:c r="A113" s="8" t="str">
        <x:v>DOC-0109</x:v>
      </x:c>
      <x:c r="B113" s="8" t="str">
        <x:v>ED-0099</x:v>
      </x:c>
      <x:c r="C113" s="8" t="str">
        <x:v>Metropolitana</x:v>
      </x:c>
      <x:c r="D113" s="8" t="str">
        <x:v>Edital</x:v>
      </x:c>
      <x:c r="E113" s="8" t="str">
        <x:v>2004f4_a29852589efd42ed8e069f3abcffbbc7.pdf</x:v>
      </x:c>
      <x:c r="F113" s="8" t="str">
        <x:v>https://www.dmetropolitana.org/_files/ugd/2004f4_a29852589efd42ed8e069f3abcffbbc7.pdf</x:v>
      </x:c>
      <x:c r="G113" s="8" t="str">
        <x:v>PDF</x:v>
      </x:c>
      <x:c r="H113" s="8" t="n">
        <x:v>70</x:v>
      </x:c>
      <x:c r="I113" s="8" t="str">
        <x:v>0b3d41f027b1f2e96ce2884195d6ea51e673758db4ad84273c80ccdea4cb3a4e</x:v>
      </x:c>
      <x:c r="J113" s="12" t="d">
        <x:v>2026-10-12T12:00:00.000Z</x:v>
      </x:c>
      <x:c r="K113" s="8" t="str">
        <x:v>BAIXADO_VALIDADO</x:v>
      </x:c>
      <x:c r="L113" s="8" t="str">
        <x:v>DOCUMENTOS_FORA_ESCOPO_OU_CONFLITANTES/08_METROPOLITANA/DOC-0109_2004f4_a29852589efd42ed8e069f3abcffbbc7.pdf</x:v>
      </x:c>
      <x:c r="M113" s="8"/>
      <x:c r="N113" s="8" t="str">
        <x:v>Portal associa à rodada de fim de 2025; processo/datas 2026 ou normas de setembro de 2025 conflitam com ano letivo 2025 no modelo. Não resolver automaticamente.</x:v>
      </x:c>
    </x:row>
    <x:row r="114" ht="84" customHeight="1">
      <x:c r="A114" s="8" t="str">
        <x:v>DOC-0110</x:v>
      </x:c>
      <x:c r="B114" s="8" t="str">
        <x:v>ED-0100</x:v>
      </x:c>
      <x:c r="C114" s="8" t="str">
        <x:v>Metropolitana</x:v>
      </x:c>
      <x:c r="D114" s="8" t="str">
        <x:v>Edital</x:v>
      </x:c>
      <x:c r="E114" s="8" t="str">
        <x:v>2004f4_d275f8ff4df34f22aac00f2ef72077a1.pdf</x:v>
      </x:c>
      <x:c r="F114" s="8" t="str">
        <x:v>https://www.dmetropolitana.org/_files/ugd/2004f4_d275f8ff4df34f22aac00f2ef72077a1.pdf</x:v>
      </x:c>
      <x:c r="G114" s="8" t="str">
        <x:v>PDF</x:v>
      </x:c>
      <x:c r="H114" s="8" t="n">
        <x:v>67</x:v>
      </x:c>
      <x:c r="I114" s="8" t="str">
        <x:v>178cb745712794fc6b7d9aa62d7e60ff7b33841ff7d8fa00cf0e68894a2bc427</x:v>
      </x:c>
      <x:c r="J114" s="12" t="d">
        <x:v>2026-10-12T12:00:00.000Z</x:v>
      </x:c>
      <x:c r="K114" s="8" t="str">
        <x:v>BAIXADO_VALIDADO</x:v>
      </x:c>
      <x:c r="L114" s="8" t="str">
        <x:v>DOCUMENTOS_FORA_ESCOPO_OU_CONFLITANTES/08_METROPOLITANA/DOC-0110_2004f4_d275f8ff4df34f22aac00f2ef72077a1.pdf</x:v>
      </x:c>
      <x:c r="M114" s="8"/>
      <x:c r="N114" s="8" t="str">
        <x:v>Portal associa à rodada de fim de 2025; processo/datas 2026 ou normas de setembro de 2025 conflitam com ano letivo 2025 no modelo. Não resolver automaticamente.</x:v>
      </x:c>
    </x:row>
    <x:row r="115" ht="84" customHeight="1">
      <x:c r="A115" s="8" t="str">
        <x:v>DOC-0111</x:v>
      </x:c>
      <x:c r="B115" s="8" t="str">
        <x:v>ED-0101</x:v>
      </x:c>
      <x:c r="C115" s="8" t="str">
        <x:v>Metropolitana</x:v>
      </x:c>
      <x:c r="D115" s="8" t="str">
        <x:v>Edital</x:v>
      </x:c>
      <x:c r="E115" s="8" t="str">
        <x:v>2004f4_7e7f9188a88349d28235ca65582376ca.pdf</x:v>
      </x:c>
      <x:c r="F115" s="8" t="str">
        <x:v>https://www.dmetropolitana.org/_files/ugd/2004f4_7e7f9188a88349d28235ca65582376ca.pdf</x:v>
      </x:c>
      <x:c r="G115" s="8" t="str">
        <x:v>PDF</x:v>
      </x:c>
      <x:c r="H115" s="8" t="n">
        <x:v>77</x:v>
      </x:c>
      <x:c r="I115" s="8" t="str">
        <x:v>55fffc3a9c16e0bf4150d5c9914d6133f8c0d4e58f0e321083887203fcb05152</x:v>
      </x:c>
      <x:c r="J115" s="12" t="d">
        <x:v>2026-10-12T12:00:00.000Z</x:v>
      </x:c>
      <x:c r="K115" s="8" t="str">
        <x:v>BAIXADO_VALIDADO</x:v>
      </x:c>
      <x:c r="L115" s="8" t="str">
        <x:v>DOCUMENTOS_FORA_ESCOPO_OU_CONFLITANTES/08_METROPOLITANA/DOC-0111_2004f4_7e7f9188a88349d28235ca65582376ca.pdf</x:v>
      </x:c>
      <x:c r="M115" s="8"/>
      <x:c r="N115" s="8" t="str">
        <x:v>Portal associa à rodada de fim de 2025; processo/datas 2026 ou normas de setembro de 2025 conflitam com ano letivo 2025 no modelo. Não resolver automaticamente.</x:v>
      </x:c>
    </x:row>
    <x:row r="116" ht="84" customHeight="1">
      <x:c r="A116" s="8" t="str">
        <x:v>DOC-0112</x:v>
      </x:c>
      <x:c r="B116" s="8" t="str">
        <x:v>ED-0102</x:v>
      </x:c>
      <x:c r="C116" s="8" t="str">
        <x:v>Metropolitana</x:v>
      </x:c>
      <x:c r="D116" s="8" t="str">
        <x:v>Edital</x:v>
      </x:c>
      <x:c r="E116" s="8" t="str">
        <x:v>2004f4_e84cb3a0d1f64507beff5c292c9fac5e.pdf</x:v>
      </x:c>
      <x:c r="F116" s="8" t="str">
        <x:v>https://www.dmetropolitana.org/_files/ugd/2004f4_e84cb3a0d1f64507beff5c292c9fac5e.pdf</x:v>
      </x:c>
      <x:c r="G116" s="8" t="str">
        <x:v>PDF</x:v>
      </x:c>
      <x:c r="H116" s="8" t="n">
        <x:v>73</x:v>
      </x:c>
      <x:c r="I116" s="8" t="str">
        <x:v>3620f611b5684e2c85ecd6933d69d9491b226b4954f7d7813c94c79adf2ba124</x:v>
      </x:c>
      <x:c r="J116" s="12" t="d">
        <x:v>2026-10-12T12:00:00.000Z</x:v>
      </x:c>
      <x:c r="K116" s="8" t="str">
        <x:v>BAIXADO_VALIDADO</x:v>
      </x:c>
      <x:c r="L116" s="8" t="str">
        <x:v>DOCUMENTOS_FORA_ESCOPO_OU_CONFLITANTES/08_METROPOLITANA/DOC-0112_2004f4_e84cb3a0d1f64507beff5c292c9fac5e.pdf</x:v>
      </x:c>
      <x:c r="M116" s="8"/>
      <x:c r="N116" s="8" t="str">
        <x:v>Portal associa à rodada de fim de 2025; processo/datas 2026 ou normas de setembro de 2025 conflitam com ano letivo 2025 no modelo. Não resolver automaticamente.</x:v>
      </x:c>
    </x:row>
    <x:row r="117" ht="84" customHeight="1">
      <x:c r="A117" s="8" t="str">
        <x:v>DOC-0113</x:v>
      </x:c>
      <x:c r="B117" s="8" t="str">
        <x:v>ED-0103</x:v>
      </x:c>
      <x:c r="C117" s="8" t="str">
        <x:v>Metropolitana</x:v>
      </x:c>
      <x:c r="D117" s="8" t="str">
        <x:v>Edital</x:v>
      </x:c>
      <x:c r="E117" s="8" t="str">
        <x:v>2004f4_88a5d1caedc34dde8c02a2ce8321076d.pdf</x:v>
      </x:c>
      <x:c r="F117" s="8" t="str">
        <x:v>https://www.dmetropolitana.org/_files/ugd/2004f4_88a5d1caedc34dde8c02a2ce8321076d.pdf</x:v>
      </x:c>
      <x:c r="G117" s="8" t="str">
        <x:v>PDF</x:v>
      </x:c>
      <x:c r="H117" s="8" t="n">
        <x:v>73</x:v>
      </x:c>
      <x:c r="I117" s="8" t="str">
        <x:v>c92ffe495c947f52fb3306db7285bf0c6da2496ed8ca0b0180199c0497de4441</x:v>
      </x:c>
      <x:c r="J117" s="12" t="d">
        <x:v>2026-10-12T12:00:00.000Z</x:v>
      </x:c>
      <x:c r="K117" s="8" t="str">
        <x:v>BAIXADO_VALIDADO</x:v>
      </x:c>
      <x:c r="L117" s="8" t="str">
        <x:v>DOCUMENTOS_FORA_ESCOPO_OU_CONFLITANTES/08_METROPOLITANA/DOC-0113_2004f4_88a5d1caedc34dde8c02a2ce8321076d.pdf</x:v>
      </x:c>
      <x:c r="M117" s="8"/>
      <x:c r="N117" s="8" t="str">
        <x:v>Portal associa à rodada de fim de 2025; processo/datas 2026 ou normas de setembro de 2025 conflitam com ano letivo 2025 no modelo. Não resolver automaticamente.</x:v>
      </x:c>
    </x:row>
    <x:row r="118" ht="84" customHeight="1">
      <x:c r="A118" s="8" t="str">
        <x:v>DOC-0114</x:v>
      </x:c>
      <x:c r="B118" s="8" t="str">
        <x:v>ED-0104</x:v>
      </x:c>
      <x:c r="C118" s="8" t="str">
        <x:v>Metropolitana</x:v>
      </x:c>
      <x:c r="D118" s="8" t="str">
        <x:v>Edital</x:v>
      </x:c>
      <x:c r="E118" s="8" t="str">
        <x:v>2004f4_42c1768cd2454f29a14f5e8b51c5c509.pdf</x:v>
      </x:c>
      <x:c r="F118" s="8" t="str">
        <x:v>https://www.dmetropolitana.org/_files/ugd/2004f4_42c1768cd2454f29a14f5e8b51c5c509.pdf</x:v>
      </x:c>
      <x:c r="G118" s="8" t="str">
        <x:v>PDF</x:v>
      </x:c>
      <x:c r="H118" s="8" t="n">
        <x:v>68</x:v>
      </x:c>
      <x:c r="I118" s="8" t="str">
        <x:v>e612a34d58d5e6a33d18a853e833ccaa71320c96404469573499e2b7ec6e8bdc</x:v>
      </x:c>
      <x:c r="J118" s="12" t="d">
        <x:v>2026-10-12T12:00:00.000Z</x:v>
      </x:c>
      <x:c r="K118" s="8" t="str">
        <x:v>BAIXADO_VALIDADO</x:v>
      </x:c>
      <x:c r="L118" s="8" t="str">
        <x:v>DOCUMENTOS_FORA_ESCOPO_OU_CONFLITANTES/08_METROPOLITANA/DOC-0114_2004f4_42c1768cd2454f29a14f5e8b51c5c509.pdf</x:v>
      </x:c>
      <x:c r="M118" s="8"/>
      <x:c r="N118" s="8" t="str">
        <x:v>Portal associa à rodada de fim de 2025; processo/datas 2026 ou normas de setembro de 2025 conflitam com ano letivo 2025 no modelo. Não resolver automaticamente.</x:v>
      </x:c>
    </x:row>
    <x:row r="119" ht="84" customHeight="1">
      <x:c r="A119" s="8" t="str">
        <x:v>DOC-0115</x:v>
      </x:c>
      <x:c r="B119" s="8" t="str">
        <x:v>ED-0105</x:v>
      </x:c>
      <x:c r="C119" s="8" t="str">
        <x:v>Metropolitana</x:v>
      </x:c>
      <x:c r="D119" s="8" t="str">
        <x:v>Edital</x:v>
      </x:c>
      <x:c r="E119" s="8" t="str">
        <x:v>2004f4_fcf2491bb40c4f5ca34e34cc02490f53.pdf</x:v>
      </x:c>
      <x:c r="F119" s="8" t="str">
        <x:v>https://www.dmetropolitana.org/_files/ugd/2004f4_fcf2491bb40c4f5ca34e34cc02490f53.pdf</x:v>
      </x:c>
      <x:c r="G119" s="8" t="str">
        <x:v>PDF</x:v>
      </x:c>
      <x:c r="H119" s="8" t="n">
        <x:v>66</x:v>
      </x:c>
      <x:c r="I119" s="8" t="str">
        <x:v>5697bf2099732b859d48ab8ac2bbcafc50ffc9d3ee455ede464c4892b7100a5a</x:v>
      </x:c>
      <x:c r="J119" s="12" t="d">
        <x:v>2026-10-12T12:00:00.000Z</x:v>
      </x:c>
      <x:c r="K119" s="8" t="str">
        <x:v>BAIXADO_VALIDADO</x:v>
      </x:c>
      <x:c r="L119" s="8" t="str">
        <x:v>DOCUMENTOS_FORA_ESCOPO_OU_CONFLITANTES/08_METROPOLITANA/DOC-0115_2004f4_fcf2491bb40c4f5ca34e34cc02490f53.pdf</x:v>
      </x:c>
      <x:c r="M119" s="8"/>
      <x:c r="N119" s="8" t="str">
        <x:v>Portal associa à rodada de fim de 2025; processo/datas 2026 ou normas de setembro de 2025 conflitam com ano letivo 2025 no modelo. Não resolver automaticamente.</x:v>
      </x:c>
    </x:row>
    <x:row r="120" ht="84" customHeight="1">
      <x:c r="A120" s="8" t="str">
        <x:v>DOC-0116</x:v>
      </x:c>
      <x:c r="B120" s="8" t="str">
        <x:v>ED-0106</x:v>
      </x:c>
      <x:c r="C120" s="8" t="str">
        <x:v>Metropolitana</x:v>
      </x:c>
      <x:c r="D120" s="8" t="str">
        <x:v>Edital</x:v>
      </x:c>
      <x:c r="E120" s="8" t="str">
        <x:v>2004f4_c48619e9ff29426d9ad5922b1a9474d8.pdf</x:v>
      </x:c>
      <x:c r="F120" s="8" t="str">
        <x:v>https://www.dmetropolitana.org/_files/ugd/2004f4_c48619e9ff29426d9ad5922b1a9474d8.pdf</x:v>
      </x:c>
      <x:c r="G120" s="8" t="str">
        <x:v>PDF</x:v>
      </x:c>
      <x:c r="H120" s="8" t="n">
        <x:v>68</x:v>
      </x:c>
      <x:c r="I120" s="8" t="str">
        <x:v>3bd44fbf7598c964a729ca150444bd335213650494e26293412cd6abea4d6fb8</x:v>
      </x:c>
      <x:c r="J120" s="12" t="d">
        <x:v>2026-10-12T12:00:00.000Z</x:v>
      </x:c>
      <x:c r="K120" s="8" t="str">
        <x:v>BAIXADO_VALIDADO</x:v>
      </x:c>
      <x:c r="L120" s="8" t="str">
        <x:v>DOCUMENTOS_FORA_ESCOPO_OU_CONFLITANTES/08_METROPOLITANA/DOC-0116_2004f4_c48619e9ff29426d9ad5922b1a9474d8.pdf</x:v>
      </x:c>
      <x:c r="M120" s="8"/>
      <x:c r="N120" s="8" t="str">
        <x:v>Portal associa à rodada de fim de 2025; processo/datas 2026 ou normas de setembro de 2025 conflitam com ano letivo 2025 no modelo. Não resolver automaticamente.</x:v>
      </x:c>
    </x:row>
    <x:row r="121" ht="84" customHeight="1">
      <x:c r="A121" s="8" t="str">
        <x:v>DOC-0117</x:v>
      </x:c>
      <x:c r="B121" s="8" t="str">
        <x:v>ED-0107</x:v>
      </x:c>
      <x:c r="C121" s="8" t="str">
        <x:v>Metropolitana</x:v>
      </x:c>
      <x:c r="D121" s="8" t="str">
        <x:v>Edital</x:v>
      </x:c>
      <x:c r="E121" s="8" t="str">
        <x:v>2004f4_a40cb2d0ef534c7d8b8153fb4c5c9697.pdf</x:v>
      </x:c>
      <x:c r="F121" s="8" t="str">
        <x:v>https://www.dmetropolitana.org/_files/ugd/2004f4_a40cb2d0ef534c7d8b8153fb4c5c9697.pdf</x:v>
      </x:c>
      <x:c r="G121" s="8" t="str">
        <x:v>PDF</x:v>
      </x:c>
      <x:c r="H121" s="8" t="n">
        <x:v>68</x:v>
      </x:c>
      <x:c r="I121" s="8" t="str">
        <x:v>89c326babdc02973be897aed40480258fdcf5a2f568df123c0f5c915b961912a</x:v>
      </x:c>
      <x:c r="J121" s="12" t="d">
        <x:v>2026-10-12T12:00:00.000Z</x:v>
      </x:c>
      <x:c r="K121" s="8" t="str">
        <x:v>BAIXADO_VALIDADO</x:v>
      </x:c>
      <x:c r="L121" s="8" t="str">
        <x:v>DOCUMENTOS_FORA_ESCOPO_OU_CONFLITANTES/08_METROPOLITANA/DOC-0117_2004f4_a40cb2d0ef534c7d8b8153fb4c5c9697.pdf</x:v>
      </x:c>
      <x:c r="M121" s="8"/>
      <x:c r="N121" s="8" t="str">
        <x:v>Portal associa à rodada de fim de 2025; processo/datas 2026 ou normas de setembro de 2025 conflitam com ano letivo 2025 no modelo. Não resolver automaticamente.</x:v>
      </x:c>
    </x:row>
    <x:row r="122" ht="84" customHeight="1">
      <x:c r="A122" s="8" t="str">
        <x:v>DOC-0118</x:v>
      </x:c>
      <x:c r="B122" s="8" t="str">
        <x:v>ED-0108</x:v>
      </x:c>
      <x:c r="C122" s="8" t="str">
        <x:v>Metropolitana</x:v>
      </x:c>
      <x:c r="D122" s="8" t="str">
        <x:v>Edital</x:v>
      </x:c>
      <x:c r="E122" s="8" t="str">
        <x:v>2004f4_c959216226f846ae8cd20addd9412c18.pdf</x:v>
      </x:c>
      <x:c r="F122" s="8" t="str">
        <x:v>https://www.dmetropolitana.org/_files/ugd/2004f4_c959216226f846ae8cd20addd9412c18.pdf</x:v>
      </x:c>
      <x:c r="G122" s="8" t="str">
        <x:v>PDF</x:v>
      </x:c>
      <x:c r="H122" s="8" t="n">
        <x:v>68</x:v>
      </x:c>
      <x:c r="I122" s="8" t="str">
        <x:v>a9471b853ff76b0e56025345569e5e480b46106034dbd93548697b0a349db060</x:v>
      </x:c>
      <x:c r="J122" s="12" t="d">
        <x:v>2026-10-12T12:00:00.000Z</x:v>
      </x:c>
      <x:c r="K122" s="8" t="str">
        <x:v>BAIXADO_VALIDADO</x:v>
      </x:c>
      <x:c r="L122" s="8" t="str">
        <x:v>DOCUMENTOS_FORA_ESCOPO_OU_CONFLITANTES/08_METROPOLITANA/DOC-0118_2004f4_c959216226f846ae8cd20addd9412c18.pdf</x:v>
      </x:c>
      <x:c r="M122" s="8"/>
      <x:c r="N122" s="8" t="str">
        <x:v>Portal associa à rodada de fim de 2025; processo/datas 2026 ou normas de setembro de 2025 conflitam com ano letivo 2025 no modelo. Não resolver automaticamente.</x:v>
      </x:c>
    </x:row>
    <x:row r="123" ht="84" customHeight="1">
      <x:c r="A123" s="8" t="str">
        <x:v>DOC-0119</x:v>
      </x:c>
      <x:c r="B123" s="8" t="str">
        <x:v>ED-0109</x:v>
      </x:c>
      <x:c r="C123" s="8" t="str">
        <x:v>Metropolitana</x:v>
      </x:c>
      <x:c r="D123" s="8" t="str">
        <x:v>Edital</x:v>
      </x:c>
      <x:c r="E123" s="8" t="str">
        <x:v>2004f4_bd417cb1a36a4509975aedce74924758.pdf</x:v>
      </x:c>
      <x:c r="F123" s="8" t="str">
        <x:v>https://www.dmetropolitana.org/_files/ugd/2004f4_bd417cb1a36a4509975aedce74924758.pdf</x:v>
      </x:c>
      <x:c r="G123" s="8" t="str">
        <x:v>PDF</x:v>
      </x:c>
      <x:c r="H123" s="8" t="n">
        <x:v>69</x:v>
      </x:c>
      <x:c r="I123" s="8" t="str">
        <x:v>c4b087e06a58c44293cab6df797c02167300f11ceffeb43b89f9346c19e5bcfc</x:v>
      </x:c>
      <x:c r="J123" s="12" t="d">
        <x:v>2026-10-12T12:00:00.000Z</x:v>
      </x:c>
      <x:c r="K123" s="8" t="str">
        <x:v>BAIXADO_VALIDADO</x:v>
      </x:c>
      <x:c r="L123" s="8" t="str">
        <x:v>DOCUMENTOS_FORA_ESCOPO_OU_CONFLITANTES/08_METROPOLITANA/DOC-0119_2004f4_bd417cb1a36a4509975aedce74924758.pdf</x:v>
      </x:c>
      <x:c r="M123" s="8"/>
      <x:c r="N123" s="8" t="str">
        <x:v>Portal associa à rodada de fim de 2025; processo/datas 2026 ou normas de setembro de 2025 conflitam com ano letivo 2025 no modelo. Não resolver automaticamente.</x:v>
      </x:c>
    </x:row>
    <x:row r="124" ht="84" customHeight="1">
      <x:c r="A124" s="8" t="str">
        <x:v>DOC-0120</x:v>
      </x:c>
      <x:c r="B124" s="8" t="str">
        <x:v>ED-0110</x:v>
      </x:c>
      <x:c r="C124" s="8" t="str">
        <x:v>Metropolitana</x:v>
      </x:c>
      <x:c r="D124" s="8" t="str">
        <x:v>Pregão</x:v>
      </x:c>
      <x:c r="E124" s="8" t="str">
        <x:v>2004f4_dea8716823c14c04a061631b6fd19025.pdf</x:v>
      </x:c>
      <x:c r="F124" s="8" t="str">
        <x:v>https://www.dmetropolitana.org/_files/ugd/2004f4_dea8716823c14c04a061631b6fd19025.pdf</x:v>
      </x:c>
      <x:c r="G124" s="8" t="str">
        <x:v>PDF</x:v>
      </x:c>
      <x:c r="H124" s="8" t="n">
        <x:v>176</x:v>
      </x:c>
      <x:c r="I124" s="8" t="str">
        <x:v>4f0f01e6c7b809ca046238ba61dbda5a225d534eb565848b14576b72ef6debcd</x:v>
      </x:c>
      <x:c r="J124" s="12" t="d">
        <x:v>2026-10-12T12:00:00.000Z</x:v>
      </x:c>
      <x:c r="K124" s="8" t="str">
        <x:v>BAIXADO_VALIDADO</x:v>
      </x:c>
      <x:c r="L124" s="8" t="str">
        <x:v>PNAE_MT_2025/08_METROPOLITANA/DOC-0120_2004f4_dea8716823c14c04a061631b6fd19025.pdf</x:v>
      </x:c>
      <x:c r="M124" s="8"/>
      <x:c r="N124" s="8" t="str">
        <x:v>Categoria separada da agricultura familiar. Não importar no módulo de chamadas públicas.</x:v>
      </x:c>
    </x:row>
    <x:row r="125" ht="84" customHeight="1">
      <x:c r="A125" s="8" t="str">
        <x:v>DOC-0121</x:v>
      </x:c>
      <x:c r="B125" s="8" t="str">
        <x:v>ED-0111</x:v>
      </x:c>
      <x:c r="C125" s="8" t="str">
        <x:v>Metropolitana</x:v>
      </x:c>
      <x:c r="D125" s="8" t="str">
        <x:v>Pregão</x:v>
      </x:c>
      <x:c r="E125" s="8" t="str">
        <x:v>2004f4_8bb54366edc047cc91e143616c8418c9.pdf</x:v>
      </x:c>
      <x:c r="F125" s="8" t="str">
        <x:v>https://www.dmetropolitana.org/_files/ugd/2004f4_8bb54366edc047cc91e143616c8418c9.pdf</x:v>
      </x:c>
      <x:c r="G125" s="8" t="str">
        <x:v>PDF</x:v>
      </x:c>
      <x:c r="H125" s="8" t="n">
        <x:v>169</x:v>
      </x:c>
      <x:c r="I125" s="8" t="str">
        <x:v>e51703b65bb9031d4702e9810aeaad119c9758740d32f6a1616ced83486c9ef3</x:v>
      </x:c>
      <x:c r="J125" s="12" t="d">
        <x:v>2026-10-12T12:00:00.000Z</x:v>
      </x:c>
      <x:c r="K125" s="8" t="str">
        <x:v>BAIXADO_VALIDADO</x:v>
      </x:c>
      <x:c r="L125" s="8" t="str">
        <x:v>PNAE_MT_2025/08_METROPOLITANA/DOC-0121_2004f4_8bb54366edc047cc91e143616c8418c9.pdf</x:v>
      </x:c>
      <x:c r="M125" s="8"/>
      <x:c r="N125" s="8" t="str">
        <x:v>Categoria separada da agricultura familiar. Não importar no módulo de chamadas públicas.</x:v>
      </x:c>
    </x:row>
    <x:row r="126" ht="84" customHeight="1">
      <x:c r="A126" s="8" t="str">
        <x:v>DOC-0122</x:v>
      </x:c>
      <x:c r="B126" s="8" t="str">
        <x:v>ED-0112</x:v>
      </x:c>
      <x:c r="C126" s="8" t="str">
        <x:v>Metropolitana</x:v>
      </x:c>
      <x:c r="D126" s="8" t="str">
        <x:v>Pregão</x:v>
      </x:c>
      <x:c r="E126" s="8" t="str">
        <x:v>2004f4_87ed7fac89b54734a58548ab9bf6741b.pdf</x:v>
      </x:c>
      <x:c r="F126" s="8" t="str">
        <x:v>https://www.dmetropolitana.org/_files/ugd/2004f4_87ed7fac89b54734a58548ab9bf6741b.pdf</x:v>
      </x:c>
      <x:c r="G126" s="8" t="str">
        <x:v>PDF</x:v>
      </x:c>
      <x:c r="H126" s="8" t="n">
        <x:v>174</x:v>
      </x:c>
      <x:c r="I126" s="8" t="str">
        <x:v>0873439e7b272eac7c06c243b025d3ea0c623bb48e7564abe12a7989210ca3ae</x:v>
      </x:c>
      <x:c r="J126" s="12" t="d">
        <x:v>2026-10-12T12:00:00.000Z</x:v>
      </x:c>
      <x:c r="K126" s="8" t="str">
        <x:v>BAIXADO_VALIDADO</x:v>
      </x:c>
      <x:c r="L126" s="8" t="str">
        <x:v>PNAE_MT_2025/08_METROPOLITANA/DOC-0122_2004f4_87ed7fac89b54734a58548ab9bf6741b.pdf</x:v>
      </x:c>
      <x:c r="M126" s="8"/>
      <x:c r="N126" s="8" t="str">
        <x:v>Categoria separada da agricultura familiar. Não importar no módulo de chamadas públicas.</x:v>
      </x:c>
    </x:row>
    <x:row r="127" ht="84" customHeight="1">
      <x:c r="A127" s="8" t="str">
        <x:v>DOC-0123</x:v>
      </x:c>
      <x:c r="B127" s="8" t="str">
        <x:v>ED-0113</x:v>
      </x:c>
      <x:c r="C127" s="8" t="str">
        <x:v>Metropolitana</x:v>
      </x:c>
      <x:c r="D127" s="8" t="str">
        <x:v>Pregão</x:v>
      </x:c>
      <x:c r="E127" s="8" t="str">
        <x:v>2004f4_f869b5af3e7a42e58206e5a5f70a15f0.pdf</x:v>
      </x:c>
      <x:c r="F127" s="8" t="str">
        <x:v>https://www.dmetropolitana.org/_files/ugd/2004f4_f869b5af3e7a42e58206e5a5f70a15f0.pdf</x:v>
      </x:c>
      <x:c r="G127" s="8" t="str">
        <x:v>PDF</x:v>
      </x:c>
      <x:c r="H127" s="8" t="n">
        <x:v>172</x:v>
      </x:c>
      <x:c r="I127" s="8" t="str">
        <x:v>6d708f227fbda446c892ad1ca60a5e370cde12f5be69f5757de2525c0ee7fcd2</x:v>
      </x:c>
      <x:c r="J127" s="12" t="d">
        <x:v>2026-10-12T12:00:00.000Z</x:v>
      </x:c>
      <x:c r="K127" s="8" t="str">
        <x:v>BAIXADO_VALIDADO</x:v>
      </x:c>
      <x:c r="L127" s="8" t="str">
        <x:v>PNAE_MT_2025/08_METROPOLITANA/DOC-0123_2004f4_f869b5af3e7a42e58206e5a5f70a15f0.pdf</x:v>
      </x:c>
      <x:c r="M127" s="8"/>
      <x:c r="N127" s="8" t="str">
        <x:v>Categoria separada da agricultura familiar. Não importar no módulo de chamadas públicas.</x:v>
      </x:c>
    </x:row>
    <x:row r="128" ht="84" customHeight="1">
      <x:c r="A128" s="8" t="str">
        <x:v>DOC-0124</x:v>
      </x:c>
      <x:c r="B128" s="8" t="str">
        <x:v>ED-0114</x:v>
      </x:c>
      <x:c r="C128" s="8" t="str">
        <x:v>Metropolitana</x:v>
      </x:c>
      <x:c r="D128" s="8" t="str">
        <x:v>Pregão</x:v>
      </x:c>
      <x:c r="E128" s="8" t="str">
        <x:v>2004f4_a8813c38b6e34b8880bad6dada1b622d.pdf</x:v>
      </x:c>
      <x:c r="F128" s="8" t="str">
        <x:v>https://www.dmetropolitana.org/_files/ugd/2004f4_a8813c38b6e34b8880bad6dada1b622d.pdf</x:v>
      </x:c>
      <x:c r="G128" s="8" t="str">
        <x:v>PDF</x:v>
      </x:c>
      <x:c r="H128" s="8" t="n">
        <x:v>161</x:v>
      </x:c>
      <x:c r="I128" s="8" t="str">
        <x:v>afd1259846733c7454cf5084e0325ba0458db643bf9ad4225c2bc43197a6fa29</x:v>
      </x:c>
      <x:c r="J128" s="12" t="d">
        <x:v>2026-10-12T12:00:00.000Z</x:v>
      </x:c>
      <x:c r="K128" s="8" t="str">
        <x:v>BAIXADO_VALIDADO</x:v>
      </x:c>
      <x:c r="L128" s="8" t="str">
        <x:v>PNAE_MT_2025/08_METROPOLITANA/DOC-0124_2004f4_a8813c38b6e34b8880bad6dada1b622d.pdf</x:v>
      </x:c>
      <x:c r="M128" s="8"/>
      <x:c r="N128" s="8" t="str">
        <x:v>Categoria separada da agricultura familiar. Não importar no módulo de chamadas públicas.</x:v>
      </x:c>
    </x:row>
    <x:row r="129" ht="84" customHeight="1">
      <x:c r="A129" s="8" t="str">
        <x:v>DOC-0125</x:v>
      </x:c>
      <x:c r="B129" s="8" t="str">
        <x:v>ED-0115</x:v>
      </x:c>
      <x:c r="C129" s="8" t="str">
        <x:v>Metropolitana</x:v>
      </x:c>
      <x:c r="D129" s="8" t="str">
        <x:v>Pregão</x:v>
      </x:c>
      <x:c r="E129" s="8" t="str">
        <x:v>2004f4_df2e8ee18b594ee6a5b25064c8856c92.pdf</x:v>
      </x:c>
      <x:c r="F129" s="8" t="str">
        <x:v>https://www.dmetropolitana.org/_files/ugd/2004f4_df2e8ee18b594ee6a5b25064c8856c92.pdf</x:v>
      </x:c>
      <x:c r="G129" s="8" t="str">
        <x:v>PDF</x:v>
      </x:c>
      <x:c r="H129" s="8" t="n">
        <x:v>172</x:v>
      </x:c>
      <x:c r="I129" s="8" t="str">
        <x:v>6694e135995ae261fdd6bc32b626959dfdf4f7548593f6bcf714086f3712517b</x:v>
      </x:c>
      <x:c r="J129" s="12" t="d">
        <x:v>2026-10-12T12:00:00.000Z</x:v>
      </x:c>
      <x:c r="K129" s="8" t="str">
        <x:v>BAIXADO_VALIDADO</x:v>
      </x:c>
      <x:c r="L129" s="8" t="str">
        <x:v>PNAE_MT_2025/08_METROPOLITANA/DOC-0125_2004f4_df2e8ee18b594ee6a5b25064c8856c92.pdf</x:v>
      </x:c>
      <x:c r="M129" s="8"/>
      <x:c r="N129" s="8" t="str">
        <x:v>Categoria separada da agricultura familiar. Não importar no módulo de chamadas públicas.</x:v>
      </x:c>
    </x:row>
    <x:row r="130" ht="84" customHeight="1">
      <x:c r="A130" s="8" t="str">
        <x:v>DOC-0126</x:v>
      </x:c>
      <x:c r="B130" s="8" t="str">
        <x:v>ED-0116</x:v>
      </x:c>
      <x:c r="C130" s="8" t="str">
        <x:v>Metropolitana</x:v>
      </x:c>
      <x:c r="D130" s="8" t="str">
        <x:v>Pregão</x:v>
      </x:c>
      <x:c r="E130" s="8" t="str">
        <x:v>2004f4_3c327a18a5fc41f89b2df665bfad91f9.pdf</x:v>
      </x:c>
      <x:c r="F130" s="8" t="str">
        <x:v>https://www.dmetropolitana.org/_files/ugd/2004f4_3c327a18a5fc41f89b2df665bfad91f9.pdf</x:v>
      </x:c>
      <x:c r="G130" s="8" t="str">
        <x:v>PDF</x:v>
      </x:c>
      <x:c r="H130" s="8" t="n">
        <x:v>162</x:v>
      </x:c>
      <x:c r="I130" s="8" t="str">
        <x:v>f5488e9579970cb9eed7512dc5d02846859ae3613a2b0db2126aa1112ea71b7a</x:v>
      </x:c>
      <x:c r="J130" s="12" t="d">
        <x:v>2026-10-12T12:00:00.000Z</x:v>
      </x:c>
      <x:c r="K130" s="8" t="str">
        <x:v>BAIXADO_VALIDADO</x:v>
      </x:c>
      <x:c r="L130" s="8" t="str">
        <x:v>PNAE_MT_2025/08_METROPOLITANA/DOC-0126_2004f4_3c327a18a5fc41f89b2df665bfad91f9.pdf</x:v>
      </x:c>
      <x:c r="M130" s="8"/>
      <x:c r="N130" s="8" t="str">
        <x:v>Categoria separada da agricultura familiar. Não importar no módulo de chamadas públicas.</x:v>
      </x:c>
    </x:row>
    <x:row r="131" ht="84" customHeight="1">
      <x:c r="A131" s="8" t="str">
        <x:v>DOC-0127</x:v>
      </x:c>
      <x:c r="B131" s="8" t="str">
        <x:v>ED-0117</x:v>
      </x:c>
      <x:c r="C131" s="8" t="str">
        <x:v>Metropolitana</x:v>
      </x:c>
      <x:c r="D131" s="8" t="str">
        <x:v>Pregão</x:v>
      </x:c>
      <x:c r="E131" s="8" t="str">
        <x:v>2004f4_0c038f727d3b419d8213275738c38c2c.pdf</x:v>
      </x:c>
      <x:c r="F131" s="8" t="str">
        <x:v>https://www.dmetropolitana.org/_files/ugd/2004f4_0c038f727d3b419d8213275738c38c2c.pdf</x:v>
      </x:c>
      <x:c r="G131" s="8" t="str">
        <x:v>PDF</x:v>
      </x:c>
      <x:c r="H131" s="8" t="n">
        <x:v>170</x:v>
      </x:c>
      <x:c r="I131" s="8" t="str">
        <x:v>f7c9c31ca5c278bf0db9adc3b958af9f0d8a5bb7ca253e468e06207f80f69c18</x:v>
      </x:c>
      <x:c r="J131" s="12" t="d">
        <x:v>2026-10-12T12:00:00.000Z</x:v>
      </x:c>
      <x:c r="K131" s="8" t="str">
        <x:v>BAIXADO_VALIDADO</x:v>
      </x:c>
      <x:c r="L131" s="8" t="str">
        <x:v>PNAE_MT_2025/08_METROPOLITANA/DOC-0127_2004f4_0c038f727d3b419d8213275738c38c2c.pdf</x:v>
      </x:c>
      <x:c r="M131" s="8"/>
      <x:c r="N131" s="8" t="str">
        <x:v>Categoria separada da agricultura familiar. Não importar no módulo de chamadas públicas.</x:v>
      </x:c>
    </x:row>
    <x:row r="132" ht="84" customHeight="1">
      <x:c r="A132" s="8" t="str">
        <x:v>DOC-0128</x:v>
      </x:c>
      <x:c r="B132" s="8" t="str">
        <x:v>ED-0118</x:v>
      </x:c>
      <x:c r="C132" s="8" t="str">
        <x:v>Metropolitana</x:v>
      </x:c>
      <x:c r="D132" s="8" t="str">
        <x:v>Pregão</x:v>
      </x:c>
      <x:c r="E132" s="8" t="str">
        <x:v>2004f4_ee4640c9dee7474fafbf9b9e6778221a.pdf</x:v>
      </x:c>
      <x:c r="F132" s="8" t="str">
        <x:v>https://www.dmetropolitana.org/_files/ugd/2004f4_ee4640c9dee7474fafbf9b9e6778221a.pdf</x:v>
      </x:c>
      <x:c r="G132" s="8" t="str">
        <x:v>PDF</x:v>
      </x:c>
      <x:c r="H132" s="8" t="n">
        <x:v>166</x:v>
      </x:c>
      <x:c r="I132" s="8" t="str">
        <x:v>41e2761043f7ab1c380d5274126b7383cee296063c94e335dbc2eaeb2ee20ca3</x:v>
      </x:c>
      <x:c r="J132" s="12" t="d">
        <x:v>2026-10-12T12:00:00.000Z</x:v>
      </x:c>
      <x:c r="K132" s="8" t="str">
        <x:v>BAIXADO_VALIDADO</x:v>
      </x:c>
      <x:c r="L132" s="8" t="str">
        <x:v>PNAE_MT_2025/08_METROPOLITANA/DOC-0128_2004f4_ee4640c9dee7474fafbf9b9e6778221a.pdf</x:v>
      </x:c>
      <x:c r="M132" s="8"/>
      <x:c r="N132" s="8" t="str">
        <x:v>Categoria separada da agricultura familiar. Não importar no módulo de chamadas públicas.</x:v>
      </x:c>
    </x:row>
    <x:row r="133" ht="84" customHeight="1">
      <x:c r="A133" s="8" t="str">
        <x:v>DOC-0129</x:v>
      </x:c>
      <x:c r="B133" s="8" t="str">
        <x:v>ED-0119</x:v>
      </x:c>
      <x:c r="C133" s="8" t="str">
        <x:v>Metropolitana</x:v>
      </x:c>
      <x:c r="D133" s="8" t="str">
        <x:v>Pregão</x:v>
      </x:c>
      <x:c r="E133" s="8" t="str">
        <x:v>2004f4_32158461ac7442b09680f673b655e0c5.pdf</x:v>
      </x:c>
      <x:c r="F133" s="8" t="str">
        <x:v>https://www.dmetropolitana.org/_files/ugd/2004f4_32158461ac7442b09680f673b655e0c5.pdf</x:v>
      </x:c>
      <x:c r="G133" s="8" t="str">
        <x:v>PDF</x:v>
      </x:c>
      <x:c r="H133" s="8" t="n">
        <x:v>168</x:v>
      </x:c>
      <x:c r="I133" s="8" t="str">
        <x:v>9e91842d316730a83ddc88b4f73570a926994eec03d04f6d01967e5e21847213</x:v>
      </x:c>
      <x:c r="J133" s="12" t="d">
        <x:v>2026-10-12T12:00:00.000Z</x:v>
      </x:c>
      <x:c r="K133" s="8" t="str">
        <x:v>BAIXADO_VALIDADO</x:v>
      </x:c>
      <x:c r="L133" s="8" t="str">
        <x:v>PNAE_MT_2025/08_METROPOLITANA/DOC-0129_2004f4_32158461ac7442b09680f673b655e0c5.pdf</x:v>
      </x:c>
      <x:c r="M133" s="8"/>
      <x:c r="N133" s="8" t="str">
        <x:v>Categoria separada da agricultura familiar. Não importar no módulo de chamadas públicas.</x:v>
      </x:c>
    </x:row>
    <x:row r="134" ht="84" customHeight="1">
      <x:c r="A134" s="8" t="str">
        <x:v>DOC-0130</x:v>
      </x:c>
      <x:c r="B134" s="8" t="str">
        <x:v>ED-0120</x:v>
      </x:c>
      <x:c r="C134" s="8" t="str">
        <x:v>Metropolitana</x:v>
      </x:c>
      <x:c r="D134" s="8" t="str">
        <x:v>Pregão</x:v>
      </x:c>
      <x:c r="E134" s="8" t="str">
        <x:v>2004f4_34e70caf91d04da28c0b0e2a68144bc3.pdf</x:v>
      </x:c>
      <x:c r="F134" s="8" t="str">
        <x:v>https://www.dmetropolitana.org/_files/ugd/2004f4_34e70caf91d04da28c0b0e2a68144bc3.pdf</x:v>
      </x:c>
      <x:c r="G134" s="8" t="str">
        <x:v>PDF</x:v>
      </x:c>
      <x:c r="H134" s="8" t="n">
        <x:v>168</x:v>
      </x:c>
      <x:c r="I134" s="8" t="str">
        <x:v>e2a04e9cfab020ec18535bcd73fed8da7331bd1902a1fb0652c6818cf2b7a97d</x:v>
      </x:c>
      <x:c r="J134" s="12" t="d">
        <x:v>2026-10-12T12:00:00.000Z</x:v>
      </x:c>
      <x:c r="K134" s="8" t="str">
        <x:v>BAIXADO_VALIDADO</x:v>
      </x:c>
      <x:c r="L134" s="8" t="str">
        <x:v>PNAE_MT_2025/08_METROPOLITANA/DOC-0130_2004f4_34e70caf91d04da28c0b0e2a68144bc3.pdf</x:v>
      </x:c>
      <x:c r="M134" s="8"/>
      <x:c r="N134" s="8" t="str">
        <x:v>Categoria separada da agricultura familiar. Não importar no módulo de chamadas públicas.</x:v>
      </x:c>
    </x:row>
    <x:row r="135" ht="84" customHeight="1">
      <x:c r="A135" s="8" t="str">
        <x:v>DOC-0131</x:v>
      </x:c>
      <x:c r="B135" s="8" t="str">
        <x:v>ED-0121</x:v>
      </x:c>
      <x:c r="C135" s="8" t="str">
        <x:v>Pontes e Lacerda</x:v>
      </x:c>
      <x:c r="D135" s="8" t="str">
        <x:v>Edital</x:v>
      </x:c>
      <x:c r="E135" s="8" t="str">
        <x:v>edital-downloadPDF.php.pdf</x:v>
      </x:c>
      <x:c r="F135" s="8" t="str">
        <x:v>https://dreponteselacerda.com.br/site/edital-downloadPDF.php?ideditais=113</x:v>
      </x:c>
      <x:c r="G135" s="8" t="str">
        <x:v>PDF</x:v>
      </x:c>
      <x:c r="H135" s="8" t="n">
        <x:v>77</x:v>
      </x:c>
      <x:c r="I135" s="8" t="str">
        <x:v>09f6e58aa4a8f24a6097fc5e2cfdad15a19b73ff8fcc79373bab2955bf3856f3</x:v>
      </x:c>
      <x:c r="J135" s="12" t="d">
        <x:v>2026-10-12T12:00:00.000Z</x:v>
      </x:c>
      <x:c r="K135" s="8" t="str">
        <x:v>BAIXADO_VALIDADO</x:v>
      </x:c>
      <x:c r="L135" s="8" t="str">
        <x:v>PNAE_MT_2025/09_PONTES_E_LACERDA/DOC-0131_edital-downloadPDF.php.pdf</x:v>
      </x:c>
      <x:c r="M135" s="8"/>
      <x:c r="N135" s="8" t="str">
        <x:v>Ano letivo de 2025 confirmado no PDF; dados extraídos sujeitos à conferência administrativa.</x:v>
      </x:c>
    </x:row>
    <x:row r="136" ht="84" customHeight="1">
      <x:c r="A136" s="8" t="str">
        <x:v>DOC-0132</x:v>
      </x:c>
      <x:c r="B136" s="8" t="str">
        <x:v>ED-0122</x:v>
      </x:c>
      <x:c r="C136" s="8" t="str">
        <x:v>Confresa</x:v>
      </x:c>
      <x:c r="D136" s="8" t="str">
        <x:v>Extrato</x:v>
      </x:c>
      <x:c r="E136" s="8" t="str">
        <x:v>873816.pdf</x:v>
      </x:c>
      <x:c r="F136" s="8" t="str">
        <x:v>https://www.iomat.mt.gov.br/legislacao/diario_oficial/download/873816</x:v>
      </x:c>
      <x:c r="G136" s="8" t="str">
        <x:v>PDF</x:v>
      </x:c>
      <x:c r="H136" s="8" t="n">
        <x:v>1</x:v>
      </x:c>
      <x:c r="I136" s="8" t="str">
        <x:v>4303ee72424a39be5db7b0283d037f02265695638b539b8a89e458922d7b2c05</x:v>
      </x:c>
      <x:c r="J136" s="12" t="d">
        <x:v>2026-10-12T12:00:00.000Z</x:v>
      </x:c>
      <x:c r="K136" s="8" t="str">
        <x:v>BAIXADO_VALIDADO</x:v>
      </x:c>
      <x:c r="L136" s="8" t="str">
        <x:v>PNAE_MT_2025/04_CONFRESA/DOC-0132_873816.pdf</x:v>
      </x:c>
      <x:c r="M136" s="8"/>
      <x:c r="N136" s="8" t="str">
        <x:v>Extrato de contrato publicado em 2025. Comprova referência ao procedimento, mas não substitui edital nem prova sozinho o exercício de atendimento.</x:v>
      </x:c>
    </x:row>
    <x:row r="137" ht="84" customHeight="1">
      <x:c r="A137" s="8" t="str">
        <x:v>DOC-0133</x:v>
      </x:c>
      <x:c r="B137" s="8" t="str">
        <x:v>ED-0123</x:v>
      </x:c>
      <x:c r="C137" s="8" t="str">
        <x:v>Barra do Garças</x:v>
      </x:c>
      <x:c r="D137" s="8" t="str">
        <x:v>Extrato</x:v>
      </x:c>
      <x:c r="E137" s="8" t="str">
        <x:v>884194.pdf</x:v>
      </x:c>
      <x:c r="F137" s="8" t="str">
        <x:v>https://www.iomat.mt.gov.br/legislacao/diario_oficial/download/884194</x:v>
      </x:c>
      <x:c r="G137" s="8" t="str">
        <x:v>PDF</x:v>
      </x:c>
      <x:c r="H137" s="8" t="n">
        <x:v>1</x:v>
      </x:c>
      <x:c r="I137" s="8" t="str">
        <x:v>1d1f52c1948d3c318b0245dfe9ca80afbd8293be36b95ee4c57a012ea8dadeff</x:v>
      </x:c>
      <x:c r="J137" s="12" t="d">
        <x:v>2026-10-12T12:00:00.000Z</x:v>
      </x:c>
      <x:c r="K137" s="8" t="str">
        <x:v>BAIXADO_VALIDADO</x:v>
      </x:c>
      <x:c r="L137" s="8" t="str">
        <x:v>PNAE_MT_2025/02_BARRA_DO_GARCAS/DOC-0133_884194.pdf</x:v>
      </x:c>
      <x:c r="M137" s="8"/>
      <x:c r="N137" s="8" t="str">
        <x:v>Extrato de contrato publicado em 2025. Comprova referência ao procedimento, mas não substitui edital nem prova sozinho o exercício de atendimento.</x:v>
      </x:c>
    </x:row>
    <x:row r="138" ht="84" customHeight="1">
      <x:c r="A138" s="8" t="str">
        <x:v>DOC-0134</x:v>
      </x:c>
      <x:c r="B138" s="8" t="str">
        <x:v>ED-0124</x:v>
      </x:c>
      <x:c r="C138" s="8" t="str">
        <x:v>Rondonópolis</x:v>
      </x:c>
      <x:c r="D138" s="8" t="str">
        <x:v>Extrato</x:v>
      </x:c>
      <x:c r="E138" s="8" t="str">
        <x:v>902650.pdf</x:v>
      </x:c>
      <x:c r="F138" s="8" t="str">
        <x:v>https://www.iomat.mt.gov.br/legislacao/diario_oficial/download/902650</x:v>
      </x:c>
      <x:c r="G138" s="8" t="str">
        <x:v>PDF</x:v>
      </x:c>
      <x:c r="H138" s="8" t="n">
        <x:v>3</x:v>
      </x:c>
      <x:c r="I138" s="8" t="str">
        <x:v>d24278ecb0055227d7eac8f8baf8e3212ed1a963bf8a4bb4ab01567405bf1807</x:v>
      </x:c>
      <x:c r="J138" s="12" t="d">
        <x:v>2026-10-12T12:00:00.000Z</x:v>
      </x:c>
      <x:c r="K138" s="8" t="str">
        <x:v>BAIXADO_VALIDADO</x:v>
      </x:c>
      <x:c r="L138" s="8" t="str">
        <x:v>PNAE_MT_2025/11_RONDONOPOLIS/DOC-0134_902650.pdf</x:v>
      </x:c>
      <x:c r="M138" s="8"/>
      <x:c r="N138" s="8" t="str">
        <x:v>Extrato de contrato publicado em 2025. Comprova referência ao procedimento, mas não substitui edital nem prova sozinho o exercício de atendimento.</x:v>
      </x:c>
    </x:row>
    <x:row r="139" ht="84" customHeight="1">
      <x:c r="A139" s="8" t="str">
        <x:v>DOC-0135</x:v>
      </x:c>
      <x:c r="B139" s="8" t="str">
        <x:v>ED-0125</x:v>
      </x:c>
      <x:c r="C139" s="8" t="str">
        <x:v>Matupá</x:v>
      </x:c>
      <x:c r="D139" s="8" t="str">
        <x:v>Extrato</x:v>
      </x:c>
      <x:c r="E139" s="8" t="str">
        <x:v>885190.pdf</x:v>
      </x:c>
      <x:c r="F139" s="8" t="str">
        <x:v>https://www.iomat.mt.gov.br/legislacao/diario_oficial/download/885190</x:v>
      </x:c>
      <x:c r="G139" s="8" t="str">
        <x:v>PDF</x:v>
      </x:c>
      <x:c r="H139" s="8" t="n">
        <x:v>1</x:v>
      </x:c>
      <x:c r="I139" s="8" t="str">
        <x:v>0e6ca13db611dbd459784de98c39e48d69ffe4912afd45aa49a37840bbb1049b</x:v>
      </x:c>
      <x:c r="J139" s="12" t="d">
        <x:v>2026-10-12T12:00:00.000Z</x:v>
      </x:c>
      <x:c r="K139" s="8" t="str">
        <x:v>BAIXADO_VALIDADO</x:v>
      </x:c>
      <x:c r="L139" s="8" t="str">
        <x:v>PNAE_MT_2025/07_MATUPA/DOC-0135_885190.pdf</x:v>
      </x:c>
      <x:c r="M139" s="8"/>
      <x:c r="N139" s="8" t="str">
        <x:v>Extrato de contrato publicado em 2025. Comprova referência ao procedimento, mas não substitui edital nem prova sozinho o exercício de atendimento.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0f68a8a7afa4bf9"/>
  </x:tableParts>
</x:worksheet>
</file>

<file path=xl/worksheets/sheet5.xml><?xml version="1.0" encoding="utf-8"?>
<x:worksheet xmlns:x="http://schemas.openxmlformats.org/spreadsheetml/2006/main">
  <x:sheetPr>
    <x:tabColor rgb="FF176B6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4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48" hidden="0" customWidth="1"/>
    <x:col min="13" max="13" width="24" hidden="0" customWidth="1"/>
    <x:col min="14" max="14" width="24" hidden="0" customWidth="1"/>
    <x:col min="15" max="15" width="18" hidden="0" customWidth="1"/>
  </x:cols>
  <x:sheetData>
    <x:row r="1" ht="34" customHeight="1">
      <x:c r="A1" s="2" t="str">
        <x:v>Itens extraídos • conferência pendente</x:v>
      </x:c>
      <x:c r="B1" s="2"/>
      <x:c r="C1" s="2"/>
      <x:c r="D1" s="2"/>
      <x:c r="E1" s="2"/>
      <x:c r="F1" s="2"/>
    </x:row>
    <x:row r="2" ht="44" customHeight="1">
      <x:c r="A2" s="5" t="str">
        <x:v>Extração parcial de linhas legíveis. Descrição completa continua no PDF. Valores da fonte preservados; divergências não foram corrigidas.</x:v>
      </x:c>
      <x:c r="B2" s="5"/>
      <x:c r="C2" s="5"/>
      <x:c r="D2" s="5"/>
      <x:c r="E2" s="5"/>
      <x:c r="F2" s="5"/>
    </x:row>
    <x:row r="4" ht="48" customHeight="1">
      <x:c r="A4" s="10" t="str">
        <x:v>ID do edital</x:v>
      </x:c>
      <x:c r="B4" s="10" t="str">
        <x:v>DRE</x:v>
      </x:c>
      <x:c r="C4" s="10" t="str">
        <x:v>Município</x:v>
      </x:c>
      <x:c r="D4" s="10" t="str">
        <x:v>Item</x:v>
      </x:c>
      <x:c r="E4" s="10" t="str">
        <x:v>Produto</x:v>
      </x:c>
      <x:c r="F4" s="10" t="str">
        <x:v>Descrição inicial</x:v>
      </x:c>
      <x:c r="G4" s="10" t="str">
        <x:v>Unidade</x:v>
      </x:c>
      <x:c r="H4" s="10" t="str">
        <x:v>Quantidade</x:v>
      </x:c>
      <x:c r="I4" s="10" t="str">
        <x:v>Preço unitário</x:v>
      </x:c>
      <x:c r="J4" s="10" t="str">
        <x:v>Valor total da fonte</x:v>
      </x:c>
      <x:c r="K4" s="10" t="str">
        <x:v>Página de origem</x:v>
      </x:c>
      <x:c r="L4" s="10" t="str">
        <x:v>Observações</x:v>
      </x:c>
      <x:c r="M4" s="10" t="str">
        <x:v>ID do documento</x:v>
      </x:c>
      <x:c r="N4" s="10" t="str">
        <x:v>Total calculado</x:v>
      </x:c>
      <x:c r="O4" s="10" t="str">
        <x:v>Diferença fonte</x:v>
      </x:c>
    </x:row>
    <x:row r="5" ht="84" customHeight="1">
      <x:c r="A5" s="8" t="str">
        <x:v>ED-0001</x:v>
      </x:c>
      <x:c r="B5" s="8" t="str">
        <x:v>Diamantino</x:v>
      </x:c>
      <x:c r="C5" s="8" t="str">
        <x:v>Rosário Oeste</x:v>
      </x:c>
      <x:c r="D5" s="8" t="n">
        <x:v>1</x:v>
      </x:c>
      <x:c r="E5" s="8" t="str">
        <x:v>ABACATE</x:v>
      </x:c>
      <x:c r="F5" s="8" t="str">
        <x:v>ABACATE, inteiro, livre de</x:v>
      </x:c>
      <x:c r="G5" s="8" t="str">
        <x:v>Quilograma</x:v>
      </x:c>
      <x:c r="H5" s="11" t="n">
        <x:v>37</x:v>
      </x:c>
      <x:c r="I5" s="11" t="n">
        <x:v>19.53</x:v>
      </x:c>
      <x:c r="J5" s="11" t="n">
        <x:v>722.61</x:v>
      </x:c>
      <x:c r="K5" s="11" t="n">
        <x:v>3</x:v>
      </x:c>
      <x:c r="L5" s="11" t="str">
        <x:v>Extração parcial do início da descrição; conferir unidade/descrição completa no PDF.</x:v>
      </x:c>
      <x:c r="M5" s="11" t="str">
        <x:v>DOC-0001</x:v>
      </x:c>
      <x:c r="N5" s="11" t="n">
        <x:f>H5*I5</x:f>
        <x:v>722.61</x:v>
      </x:c>
      <x:c r="O5" s="11" t="n">
        <x:f>ROUND(N5-J5,2)</x:f>
        <x:v>0</x:v>
      </x:c>
    </x:row>
    <x:row r="6" ht="84" customHeight="1">
      <x:c r="A6" s="8" t="str">
        <x:v>ED-0001</x:v>
      </x:c>
      <x:c r="B6" s="8" t="str">
        <x:v>Diamantino</x:v>
      </x:c>
      <x:c r="C6" s="8" t="str">
        <x:v>Rosário Oeste</x:v>
      </x:c>
      <x:c r="D6" s="8" t="n">
        <x:v>2</x:v>
      </x:c>
      <x:c r="E6" s="8" t="str">
        <x:v>ABACAXI PÉROLA</x:v>
      </x:c>
      <x:c r="F6" s="8" t="str">
        <x:v>ABACAXI PÉROLA, inteiro,</x:v>
      </x:c>
      <x:c r="G6" s="8" t="str">
        <x:v>Quilograma</x:v>
      </x:c>
      <x:c r="H6" s="11" t="n">
        <x:v>949</x:v>
      </x:c>
      <x:c r="I6" s="11" t="n">
        <x:v>9.83</x:v>
      </x:c>
      <x:c r="J6" s="11" t="n">
        <x:v>9328.67</x:v>
      </x:c>
      <x:c r="K6" s="11" t="n">
        <x:v>3</x:v>
      </x:c>
      <x:c r="L6" s="11" t="str">
        <x:v>Extração parcial do início da descrição; conferir unidade/descrição completa no PDF.</x:v>
      </x:c>
      <x:c r="M6" s="11" t="str">
        <x:v>DOC-0001</x:v>
      </x:c>
      <x:c r="N6" s="11" t="n">
        <x:f>H6*I6</x:f>
        <x:v>9328.67</x:v>
      </x:c>
      <x:c r="O6" s="11" t="n">
        <x:f>ROUND(N6-J6,2)</x:f>
        <x:v>0</x:v>
      </x:c>
    </x:row>
    <x:row r="7" ht="84" customHeight="1">
      <x:c r="A7" s="8" t="str">
        <x:v>ED-0001</x:v>
      </x:c>
      <x:c r="B7" s="8" t="str">
        <x:v>Diamantino</x:v>
      </x:c>
      <x:c r="C7" s="8" t="str">
        <x:v>Rosário Oeste</x:v>
      </x:c>
      <x:c r="D7" s="8" t="n">
        <x:v>3</x:v>
      </x:c>
      <x:c r="E7" s="8" t="str">
        <x:v>ABÓBORA CABOTIÃ</x:v>
      </x:c>
      <x:c r="F7" s="8" t="str">
        <x:v>ABÓBORA CABOTIÃ, inteira,</x:v>
      </x:c>
      <x:c r="G7" s="8" t="str">
        <x:v>Quilograma</x:v>
      </x:c>
      <x:c r="H7" s="11" t="n">
        <x:v>547</x:v>
      </x:c>
      <x:c r="I7" s="11" t="n">
        <x:v>4.77</x:v>
      </x:c>
      <x:c r="J7" s="11" t="n">
        <x:v>2609.19</x:v>
      </x:c>
      <x:c r="K7" s="11" t="n">
        <x:v>3</x:v>
      </x:c>
      <x:c r="L7" s="11" t="str">
        <x:v>Extração parcial do início da descrição; conferir unidade/descrição completa no PDF.</x:v>
      </x:c>
      <x:c r="M7" s="11" t="str">
        <x:v>DOC-0001</x:v>
      </x:c>
      <x:c r="N7" s="11" t="n">
        <x:f>H7*I7</x:f>
        <x:v>2609.1899999999996</x:v>
      </x:c>
      <x:c r="O7" s="11" t="n">
        <x:f>ROUND(N7-J7,2)</x:f>
        <x:v>0</x:v>
      </x:c>
    </x:row>
    <x:row r="8" ht="84" customHeight="1">
      <x:c r="A8" s="8" t="str">
        <x:v>ED-0001</x:v>
      </x:c>
      <x:c r="B8" s="8" t="str">
        <x:v>Diamantino</x:v>
      </x:c>
      <x:c r="C8" s="8" t="str">
        <x:v>Rosário Oeste</x:v>
      </x:c>
      <x:c r="D8" s="8" t="n">
        <x:v>4</x:v>
      </x:c>
      <x:c r="E8" s="8" t="str">
        <x:v>AÇAFRÃO</x:v>
      </x:c>
      <x:c r="F8" s="8" t="str">
        <x:v>AÇAFRÃO, torrado, em pó fino e</x:v>
      </x:c>
      <x:c r="G8" s="8" t="str">
        <x:v>Unidade de</x:v>
      </x:c>
      <x:c r="H8" s="11" t="n">
        <x:v>409</x:v>
      </x:c>
      <x:c r="I8" s="11" t="n">
        <x:v>2.13</x:v>
      </x:c>
      <x:c r="J8" s="11" t="n">
        <x:v>871.17</x:v>
      </x:c>
      <x:c r="K8" s="11" t="n">
        <x:v>4</x:v>
      </x:c>
      <x:c r="L8" s="11" t="str">
        <x:v>Extração parcial do início da descrição; conferir unidade/descrição completa no PDF.</x:v>
      </x:c>
      <x:c r="M8" s="11" t="str">
        <x:v>DOC-0001</x:v>
      </x:c>
      <x:c r="N8" s="11" t="n">
        <x:f>H8*I8</x:f>
        <x:v>871.17</x:v>
      </x:c>
      <x:c r="O8" s="11" t="n">
        <x:f>ROUND(N8-J8,2)</x:f>
        <x:v>0</x:v>
      </x:c>
    </x:row>
    <x:row r="9" ht="84" customHeight="1">
      <x:c r="A9" s="8" t="str">
        <x:v>ED-0001</x:v>
      </x:c>
      <x:c r="B9" s="8" t="str">
        <x:v>Diamantino</x:v>
      </x:c>
      <x:c r="C9" s="8" t="str">
        <x:v>Rosário Oeste</x:v>
      </x:c>
      <x:c r="D9" s="8" t="n">
        <x:v>5</x:v>
      </x:c>
      <x:c r="E9" s="8" t="str">
        <x:v>ACELGA</x:v>
      </x:c>
      <x:c r="F9" s="8" t="str">
        <x:v>ACELGA, com folhas inteiras,</x:v>
      </x:c>
      <x:c r="G9" s="8" t="str">
        <x:v>Quilograma</x:v>
      </x:c>
      <x:c r="H9" s="11" t="n">
        <x:v>335</x:v>
      </x:c>
      <x:c r="I9" s="11" t="n">
        <x:v>8.76</x:v>
      </x:c>
      <x:c r="J9" s="11" t="n">
        <x:v>2934.6</x:v>
      </x:c>
      <x:c r="K9" s="11" t="n">
        <x:v>4</x:v>
      </x:c>
      <x:c r="L9" s="11" t="str">
        <x:v>Extração parcial do início da descrição; conferir unidade/descrição completa no PDF.</x:v>
      </x:c>
      <x:c r="M9" s="11" t="str">
        <x:v>DOC-0001</x:v>
      </x:c>
      <x:c r="N9" s="11" t="n">
        <x:f>H9*I9</x:f>
        <x:v>2934.6</x:v>
      </x:c>
      <x:c r="O9" s="11" t="n">
        <x:f>ROUND(N9-J9,2)</x:f>
        <x:v>0</x:v>
      </x:c>
    </x:row>
    <x:row r="10" ht="84" customHeight="1">
      <x:c r="A10" s="8" t="str">
        <x:v>ED-0001</x:v>
      </x:c>
      <x:c r="B10" s="8" t="str">
        <x:v>Diamantino</x:v>
      </x:c>
      <x:c r="C10" s="8" t="str">
        <x:v>Rosário Oeste</x:v>
      </x:c>
      <x:c r="D10" s="8" t="n">
        <x:v>6</x:v>
      </x:c>
      <x:c r="E10" s="8" t="str">
        <x:v>AGRIÃO</x:v>
      </x:c>
      <x:c r="F10" s="8" t="str">
        <x:v>AGRIÃO, com folhas inteiras,</x:v>
      </x:c>
      <x:c r="G10" s="8" t="str">
        <x:v>Quilograma</x:v>
      </x:c>
      <x:c r="H10" s="11" t="n">
        <x:v>240</x:v>
      </x:c>
      <x:c r="I10" s="11" t="n">
        <x:v>33.23</x:v>
      </x:c>
      <x:c r="J10" s="11" t="n">
        <x:v>7975.2</x:v>
      </x:c>
      <x:c r="K10" s="11" t="n">
        <x:v>5</x:v>
      </x:c>
      <x:c r="L10" s="11" t="str">
        <x:v>Extração parcial do início da descrição; conferir unidade/descrição completa no PDF.</x:v>
      </x:c>
      <x:c r="M10" s="11" t="str">
        <x:v>DOC-0001</x:v>
      </x:c>
      <x:c r="N10" s="11" t="n">
        <x:f>H10*I10</x:f>
        <x:v>7975.199999999999</x:v>
      </x:c>
      <x:c r="O10" s="11" t="n">
        <x:f>ROUND(N10-J10,2)</x:f>
        <x:v>0</x:v>
      </x:c>
    </x:row>
    <x:row r="11" ht="84" customHeight="1">
      <x:c r="A11" s="8" t="str">
        <x:v>ED-0001</x:v>
      </x:c>
      <x:c r="B11" s="8" t="str">
        <x:v>Diamantino</x:v>
      </x:c>
      <x:c r="C11" s="8" t="str">
        <x:v>Rosário Oeste</x:v>
      </x:c>
      <x:c r="D11" s="8" t="n">
        <x:v>7</x:v>
      </x:c>
      <x:c r="E11" s="8" t="str">
        <x:v>ALFACE CRESPA</x:v>
      </x:c>
      <x:c r="F11" s="8" t="str">
        <x:v>ALFACE CRESPA, com folhas</x:v>
      </x:c>
      <x:c r="G11" s="8" t="str">
        <x:v>Quilograma</x:v>
      </x:c>
      <x:c r="H11" s="11" t="n">
        <x:v>1670</x:v>
      </x:c>
      <x:c r="I11" s="11" t="n">
        <x:v>22.01</x:v>
      </x:c>
      <x:c r="J11" s="11" t="n">
        <x:v>36756.7</x:v>
      </x:c>
      <x:c r="K11" s="11" t="n">
        <x:v>5</x:v>
      </x:c>
      <x:c r="L11" s="11" t="str">
        <x:v>Extração parcial do início da descrição; conferir unidade/descrição completa no PDF.</x:v>
      </x:c>
      <x:c r="M11" s="11" t="str">
        <x:v>DOC-0001</x:v>
      </x:c>
      <x:c r="N11" s="11" t="n">
        <x:f>H11*I11</x:f>
        <x:v>36756.700000000004</x:v>
      </x:c>
      <x:c r="O11" s="11" t="n">
        <x:f>ROUND(N11-J11,2)</x:f>
        <x:v>0</x:v>
      </x:c>
    </x:row>
    <x:row r="12" ht="84" customHeight="1">
      <x:c r="A12" s="8" t="str">
        <x:v>ED-0001</x:v>
      </x:c>
      <x:c r="B12" s="8" t="str">
        <x:v>Diamantino</x:v>
      </x:c>
      <x:c r="C12" s="8" t="str">
        <x:v>Rosário Oeste</x:v>
      </x:c>
      <x:c r="D12" s="8" t="n">
        <x:v>8</x:v>
      </x:c>
      <x:c r="E12" s="8" t="str">
        <x:v>ALMEIRÃO</x:v>
      </x:c>
      <x:c r="F12" s="8" t="str">
        <x:v>ALMEIRÃO,             com       folhas</x:v>
      </x:c>
      <x:c r="G12" s="8" t="str">
        <x:v>Quilograma</x:v>
      </x:c>
      <x:c r="H12" s="11" t="n">
        <x:v>334</x:v>
      </x:c>
      <x:c r="I12" s="11" t="n">
        <x:v>23.65</x:v>
      </x:c>
      <x:c r="J12" s="11" t="n">
        <x:v>7899.1</x:v>
      </x:c>
      <x:c r="K12" s="11" t="n">
        <x:v>5</x:v>
      </x:c>
      <x:c r="L12" s="11" t="str">
        <x:v>Extração parcial do início da descrição; conferir unidade/descrição completa no PDF.</x:v>
      </x:c>
      <x:c r="M12" s="11" t="str">
        <x:v>DOC-0001</x:v>
      </x:c>
      <x:c r="N12" s="11" t="n">
        <x:f>H12*I12</x:f>
        <x:v>7899.099999999999</x:v>
      </x:c>
      <x:c r="O12" s="11" t="n">
        <x:f>ROUND(N12-J12,2)</x:f>
        <x:v>0</x:v>
      </x:c>
    </x:row>
    <x:row r="13" ht="84" customHeight="1">
      <x:c r="A13" s="8" t="str">
        <x:v>ED-0001</x:v>
      </x:c>
      <x:c r="B13" s="8" t="str">
        <x:v>Diamantino</x:v>
      </x:c>
      <x:c r="C13" s="8" t="str">
        <x:v>Rosário Oeste</x:v>
      </x:c>
      <x:c r="D13" s="8" t="n">
        <x:v>9</x:v>
      </x:c>
      <x:c r="E13" s="8" t="str">
        <x:v>BANANA DA TERRA</x:v>
      </x:c>
      <x:c r="F13" s="8" t="str">
        <x:v>BANANA DA TERRA, inteira,</x:v>
      </x:c>
      <x:c r="G13" s="8" t="str">
        <x:v>Quilograma</x:v>
      </x:c>
      <x:c r="H13" s="11" t="n">
        <x:v>550</x:v>
      </x:c>
      <x:c r="I13" s="11" t="n">
        <x:v>9.99</x:v>
      </x:c>
      <x:c r="J13" s="11" t="n">
        <x:v>5494.5</x:v>
      </x:c>
      <x:c r="K13" s="11" t="n">
        <x:v>6</x:v>
      </x:c>
      <x:c r="L13" s="11" t="str">
        <x:v>Extração parcial do início da descrição; conferir unidade/descrição completa no PDF.</x:v>
      </x:c>
      <x:c r="M13" s="11" t="str">
        <x:v>DOC-0001</x:v>
      </x:c>
      <x:c r="N13" s="11" t="n">
        <x:f>H13*I13</x:f>
        <x:v>5494.5</x:v>
      </x:c>
      <x:c r="O13" s="11" t="n">
        <x:f>ROUND(N13-J13,2)</x:f>
        <x:v>0</x:v>
      </x:c>
    </x:row>
    <x:row r="14" ht="84" customHeight="1">
      <x:c r="A14" s="8" t="str">
        <x:v>ED-0001</x:v>
      </x:c>
      <x:c r="B14" s="8" t="str">
        <x:v>Diamantino</x:v>
      </x:c>
      <x:c r="C14" s="8" t="str">
        <x:v>Rosário Oeste</x:v>
      </x:c>
      <x:c r="D14" s="8" t="n">
        <x:v>10</x:v>
      </x:c>
      <x:c r="E14" s="8" t="str">
        <x:v>BANANA NANICA</x:v>
      </x:c>
      <x:c r="F14" s="8" t="str">
        <x:v>BANANA NANICA, inteira, livre</x:v>
      </x:c>
      <x:c r="G14" s="8" t="str">
        <x:v>Quilograma</x:v>
      </x:c>
      <x:c r="H14" s="11" t="n">
        <x:v>1040</x:v>
      </x:c>
      <x:c r="I14" s="11" t="n">
        <x:v>7.59</x:v>
      </x:c>
      <x:c r="J14" s="11" t="n">
        <x:v>7893.6</x:v>
      </x:c>
      <x:c r="K14" s="11" t="n">
        <x:v>6</x:v>
      </x:c>
      <x:c r="L14" s="11" t="str">
        <x:v>Extração parcial do início da descrição; conferir unidade/descrição completa no PDF.</x:v>
      </x:c>
      <x:c r="M14" s="11" t="str">
        <x:v>DOC-0001</x:v>
      </x:c>
      <x:c r="N14" s="11" t="n">
        <x:f>H14*I14</x:f>
        <x:v>7893.599999999999</x:v>
      </x:c>
      <x:c r="O14" s="11" t="n">
        <x:f>ROUND(N14-J14,2)</x:f>
        <x:v>0</x:v>
      </x:c>
    </x:row>
    <x:row r="15" ht="84" customHeight="1">
      <x:c r="A15" s="8" t="str">
        <x:v>ED-0001</x:v>
      </x:c>
      <x:c r="B15" s="8" t="str">
        <x:v>Diamantino</x:v>
      </x:c>
      <x:c r="C15" s="8" t="str">
        <x:v>Rosário Oeste</x:v>
      </x:c>
      <x:c r="D15" s="8" t="n">
        <x:v>11</x:v>
      </x:c>
      <x:c r="E15" s="8" t="str">
        <x:v>BATATA DOCE</x:v>
      </x:c>
      <x:c r="F15" s="8" t="str">
        <x:v>BATATA DOCE, inteira, livre de</x:v>
      </x:c>
      <x:c r="G15" s="8" t="str">
        <x:v>Quilograma</x:v>
      </x:c>
      <x:c r="H15" s="11" t="n">
        <x:v>386</x:v>
      </x:c>
      <x:c r="I15" s="11" t="n">
        <x:v>5.63</x:v>
      </x:c>
      <x:c r="J15" s="11" t="n">
        <x:v>2173.18</x:v>
      </x:c>
      <x:c r="K15" s="11" t="n">
        <x:v>6</x:v>
      </x:c>
      <x:c r="L15" s="11" t="str">
        <x:v>Extração parcial do início da descrição; conferir unidade/descrição completa no PDF.</x:v>
      </x:c>
      <x:c r="M15" s="11" t="str">
        <x:v>DOC-0001</x:v>
      </x:c>
      <x:c r="N15" s="11" t="n">
        <x:f>H15*I15</x:f>
        <x:v>2173.18</x:v>
      </x:c>
      <x:c r="O15" s="11" t="n">
        <x:f>ROUND(N15-J15,2)</x:f>
        <x:v>0</x:v>
      </x:c>
    </x:row>
    <x:row r="16" ht="84" customHeight="1">
      <x:c r="A16" s="8" t="str">
        <x:v>ED-0001</x:v>
      </x:c>
      <x:c r="B16" s="8" t="str">
        <x:v>Diamantino</x:v>
      </x:c>
      <x:c r="C16" s="8" t="str">
        <x:v>Rosário Oeste</x:v>
      </x:c>
      <x:c r="D16" s="8" t="n">
        <x:v>12</x:v>
      </x:c>
      <x:c r="E16" s="8" t="str">
        <x:v>BEBIDA                   LÁCTEA</x:v>
      </x:c>
      <x:c r="F16" s="8" t="str">
        <x:v>BEBIDA                   LÁCTEA</x:v>
      </x:c>
      <x:c r="G16" s="8" t="str">
        <x:v>Unidade de</x:v>
      </x:c>
      <x:c r="H16" s="11" t="n">
        <x:v>753</x:v>
      </x:c>
      <x:c r="I16" s="11" t="n">
        <x:v>10.86</x:v>
      </x:c>
      <x:c r="J16" s="11" t="n">
        <x:v>8177.58</x:v>
      </x:c>
      <x:c r="K16" s="11" t="n">
        <x:v>7</x:v>
      </x:c>
      <x:c r="L16" s="11" t="str">
        <x:v>Extração parcial do início da descrição; conferir unidade/descrição completa no PDF.</x:v>
      </x:c>
      <x:c r="M16" s="11" t="str">
        <x:v>DOC-0001</x:v>
      </x:c>
      <x:c r="N16" s="11" t="n">
        <x:f>H16*I16</x:f>
        <x:v>8177.58</x:v>
      </x:c>
      <x:c r="O16" s="11" t="n">
        <x:f>ROUND(N16-J16,2)</x:f>
        <x:v>0</x:v>
      </x:c>
    </x:row>
    <x:row r="17" ht="84" customHeight="1">
      <x:c r="A17" s="8" t="str">
        <x:v>ED-0001</x:v>
      </x:c>
      <x:c r="B17" s="8" t="str">
        <x:v>Diamantino</x:v>
      </x:c>
      <x:c r="C17" s="8" t="str">
        <x:v>Rosário Oeste</x:v>
      </x:c>
      <x:c r="D17" s="8" t="n">
        <x:v>13</x:v>
      </x:c>
      <x:c r="E17" s="8" t="str">
        <x:v>BEBIDA                   LÁCTEA</x:v>
      </x:c>
      <x:c r="F17" s="8" t="str">
        <x:v>BEBIDA                   LÁCTEA</x:v>
      </x:c>
      <x:c r="G17" s="8" t="str">
        <x:v>Unidade de</x:v>
      </x:c>
      <x:c r="H17" s="11" t="n">
        <x:v>752</x:v>
      </x:c>
      <x:c r="I17" s="11" t="n">
        <x:v>10.86</x:v>
      </x:c>
      <x:c r="J17" s="11" t="n">
        <x:v>8166.72</x:v>
      </x:c>
      <x:c r="K17" s="11" t="n">
        <x:v>7</x:v>
      </x:c>
      <x:c r="L17" s="11" t="str">
        <x:v>Extração parcial do início da descrição; conferir unidade/descrição completa no PDF.</x:v>
      </x:c>
      <x:c r="M17" s="11" t="str">
        <x:v>DOC-0001</x:v>
      </x:c>
      <x:c r="N17" s="11" t="n">
        <x:f>H17*I17</x:f>
        <x:v>8166.719999999999</x:v>
      </x:c>
      <x:c r="O17" s="11" t="n">
        <x:f>ROUND(N17-J17,2)</x:f>
        <x:v>0</x:v>
      </x:c>
    </x:row>
    <x:row r="18" ht="84" customHeight="1">
      <x:c r="A18" s="8" t="str">
        <x:v>ED-0001</x:v>
      </x:c>
      <x:c r="B18" s="8" t="str">
        <x:v>Diamantino</x:v>
      </x:c>
      <x:c r="C18" s="8" t="str">
        <x:v>Rosário Oeste</x:v>
      </x:c>
      <x:c r="D18" s="8" t="n">
        <x:v>14</x:v>
      </x:c>
      <x:c r="E18" s="8" t="str">
        <x:v>BETERRABA</x:v>
      </x:c>
      <x:c r="F18" s="8" t="str">
        <x:v>BETERRABA, inteira, livre de</x:v>
      </x:c>
      <x:c r="G18" s="8" t="str">
        <x:v>Quilograma</x:v>
      </x:c>
      <x:c r="H18" s="11" t="n">
        <x:v>240</x:v>
      </x:c>
      <x:c r="I18" s="11" t="n">
        <x:v>6.34</x:v>
      </x:c>
      <x:c r="J18" s="11" t="n">
        <x:v>1521.6</x:v>
      </x:c>
      <x:c r="K18" s="11" t="n">
        <x:v>8</x:v>
      </x:c>
      <x:c r="L18" s="11" t="str">
        <x:v>Extração parcial do início da descrição; conferir unidade/descrição completa no PDF.</x:v>
      </x:c>
      <x:c r="M18" s="11" t="str">
        <x:v>DOC-0001</x:v>
      </x:c>
      <x:c r="N18" s="11" t="n">
        <x:f>H18*I18</x:f>
        <x:v>1521.6</x:v>
      </x:c>
      <x:c r="O18" s="11" t="n">
        <x:f>ROUND(N18-J18,2)</x:f>
        <x:v>0</x:v>
      </x:c>
    </x:row>
    <x:row r="19" ht="84" customHeight="1">
      <x:c r="A19" s="8" t="str">
        <x:v>ED-0001</x:v>
      </x:c>
      <x:c r="B19" s="8" t="str">
        <x:v>Diamantino</x:v>
      </x:c>
      <x:c r="C19" s="8" t="str">
        <x:v>Rosário Oeste</x:v>
      </x:c>
      <x:c r="D19" s="8" t="n">
        <x:v>15</x:v>
      </x:c>
      <x:c r="E19" s="8" t="str">
        <x:v>BOLO DE CHOCOLATE</x:v>
      </x:c>
      <x:c r="F19" s="8" t="str">
        <x:v>BOLO DE CHOCOLATE,</x:v>
      </x:c>
      <x:c r="G19" s="8" t="str">
        <x:v>Quilograma</x:v>
      </x:c>
      <x:c r="H19" s="11" t="n">
        <x:v>1189</x:v>
      </x:c>
      <x:c r="I19" s="11" t="n">
        <x:v>36.25</x:v>
      </x:c>
      <x:c r="J19" s="11" t="n">
        <x:v>43101.25</x:v>
      </x:c>
      <x:c r="K19" s="11" t="n">
        <x:v>8</x:v>
      </x:c>
      <x:c r="L19" s="11" t="str">
        <x:v>Extração parcial do início da descrição; conferir unidade/descrição completa no PDF.</x:v>
      </x:c>
      <x:c r="M19" s="11" t="str">
        <x:v>DOC-0001</x:v>
      </x:c>
      <x:c r="N19" s="11" t="n">
        <x:f>H19*I19</x:f>
        <x:v>43101.25</x:v>
      </x:c>
      <x:c r="O19" s="11" t="n">
        <x:f>ROUND(N19-J19,2)</x:f>
        <x:v>0</x:v>
      </x:c>
    </x:row>
    <x:row r="20" ht="84" customHeight="1">
      <x:c r="A20" s="8" t="str">
        <x:v>ED-0001</x:v>
      </x:c>
      <x:c r="B20" s="8" t="str">
        <x:v>Diamantino</x:v>
      </x:c>
      <x:c r="C20" s="8" t="str">
        <x:v>Rosário Oeste</x:v>
      </x:c>
      <x:c r="D20" s="8" t="n">
        <x:v>16</x:v>
      </x:c>
      <x:c r="E20" s="8" t="str">
        <x:v>BOLO DE COCO</x:v>
      </x:c>
      <x:c r="F20" s="8" t="str">
        <x:v>BOLO DE COCO, caseiro,</x:v>
      </x:c>
      <x:c r="G20" s="8" t="str">
        <x:v>Quilograma</x:v>
      </x:c>
      <x:c r="H20" s="11" t="n">
        <x:v>1189</x:v>
      </x:c>
      <x:c r="I20" s="11" t="n">
        <x:v>31.73</x:v>
      </x:c>
      <x:c r="J20" s="11" t="n">
        <x:v>37726.97</x:v>
      </x:c>
      <x:c r="K20" s="11" t="n">
        <x:v>9</x:v>
      </x:c>
      <x:c r="L20" s="11" t="str">
        <x:v>Extração parcial do início da descrição; conferir unidade/descrição completa no PDF.</x:v>
      </x:c>
      <x:c r="M20" s="11" t="str">
        <x:v>DOC-0001</x:v>
      </x:c>
      <x:c r="N20" s="11" t="n">
        <x:f>H20*I20</x:f>
        <x:v>37726.97</x:v>
      </x:c>
      <x:c r="O20" s="11" t="n">
        <x:f>ROUND(N20-J20,2)</x:f>
        <x:v>0</x:v>
      </x:c>
    </x:row>
    <x:row r="21" ht="84" customHeight="1">
      <x:c r="A21" s="8" t="str">
        <x:v>ED-0001</x:v>
      </x:c>
      <x:c r="B21" s="8" t="str">
        <x:v>Diamantino</x:v>
      </x:c>
      <x:c r="C21" s="8" t="str">
        <x:v>Rosário Oeste</x:v>
      </x:c>
      <x:c r="D21" s="8" t="n">
        <x:v>17</x:v>
      </x:c>
      <x:c r="E21" s="8" t="str">
        <x:v>BOLO        SIMPLES</x:v>
      </x:c>
      <x:c r="F21" s="8" t="str">
        <x:v>BOLO        SIMPLES,      caseiro,</x:v>
      </x:c>
      <x:c r="G21" s="8" t="str">
        <x:v>Quilograma</x:v>
      </x:c>
      <x:c r="H21" s="11" t="n">
        <x:v>1188</x:v>
      </x:c>
      <x:c r="I21" s="11" t="n">
        <x:v>30.98</x:v>
      </x:c>
      <x:c r="J21" s="11" t="n">
        <x:v>36804.24</x:v>
      </x:c>
      <x:c r="K21" s="11" t="n">
        <x:v>9</x:v>
      </x:c>
      <x:c r="L21" s="11" t="str">
        <x:v>Extração parcial do início da descrição; conferir unidade/descrição completa no PDF.</x:v>
      </x:c>
      <x:c r="M21" s="11" t="str">
        <x:v>DOC-0001</x:v>
      </x:c>
      <x:c r="N21" s="11" t="n">
        <x:f>H21*I21</x:f>
        <x:v>36804.24</x:v>
      </x:c>
      <x:c r="O21" s="11" t="n">
        <x:f>ROUND(N21-J21,2)</x:f>
        <x:v>0</x:v>
      </x:c>
    </x:row>
    <x:row r="22" ht="84" customHeight="1">
      <x:c r="A22" s="8" t="str">
        <x:v>ED-0001</x:v>
      </x:c>
      <x:c r="B22" s="8" t="str">
        <x:v>Diamantino</x:v>
      </x:c>
      <x:c r="C22" s="8" t="str">
        <x:v>Rosário Oeste</x:v>
      </x:c>
      <x:c r="D22" s="8" t="n">
        <x:v>18</x:v>
      </x:c>
      <x:c r="E22" s="8" t="str">
        <x:v>CAFÉ TORRADO E MOÍDO</x:v>
      </x:c>
      <x:c r="F22" s="8" t="str">
        <x:v>CAFÉ TORRADO E MOÍDO,</x:v>
      </x:c>
      <x:c r="G22" s="8" t="str">
        <x:v>Unidade de</x:v>
      </x:c>
      <x:c r="H22" s="11" t="n">
        <x:v>793</x:v>
      </x:c>
      <x:c r="I22" s="11" t="n">
        <x:v>18.77</x:v>
      </x:c>
      <x:c r="J22" s="11" t="n">
        <x:v>14884.61</x:v>
      </x:c>
      <x:c r="K22" s="11" t="n">
        <x:v>9</x:v>
      </x:c>
      <x:c r="L22" s="11" t="str">
        <x:v>Extração parcial do início da descrição; conferir unidade/descrição completa no PDF.</x:v>
      </x:c>
      <x:c r="M22" s="11" t="str">
        <x:v>DOC-0001</x:v>
      </x:c>
      <x:c r="N22" s="11" t="n">
        <x:f>H22*I22</x:f>
        <x:v>14884.609999999999</x:v>
      </x:c>
      <x:c r="O22" s="11" t="n">
        <x:f>ROUND(N22-J22,2)</x:f>
        <x:v>0</x:v>
      </x:c>
    </x:row>
    <x:row r="23" ht="84" customHeight="1">
      <x:c r="A23" s="8" t="str">
        <x:v>ED-0001</x:v>
      </x:c>
      <x:c r="B23" s="8" t="str">
        <x:v>Diamantino</x:v>
      </x:c>
      <x:c r="C23" s="8" t="str">
        <x:v>Rosário Oeste</x:v>
      </x:c>
      <x:c r="D23" s="8" t="n">
        <x:v>19</x:v>
      </x:c>
      <x:c r="E23" s="8" t="str">
        <x:v>CEBOLINHA</x:v>
      </x:c>
      <x:c r="F23" s="8" t="str">
        <x:v>CEBOLINHA, verde, com folhas</x:v>
      </x:c>
      <x:c r="G23" s="8" t="str">
        <x:v>Quilograma</x:v>
      </x:c>
      <x:c r="H23" s="11" t="n">
        <x:v>430</x:v>
      </x:c>
      <x:c r="I23" s="11" t="n">
        <x:v>26.75</x:v>
      </x:c>
      <x:c r="J23" s="11" t="n">
        <x:v>11502.5</x:v>
      </x:c>
      <x:c r="K23" s="11" t="n">
        <x:v>10</x:v>
      </x:c>
      <x:c r="L23" s="11" t="str">
        <x:v>Extração parcial do início da descrição; conferir unidade/descrição completa no PDF.</x:v>
      </x:c>
      <x:c r="M23" s="11" t="str">
        <x:v>DOC-0001</x:v>
      </x:c>
      <x:c r="N23" s="11" t="n">
        <x:f>H23*I23</x:f>
        <x:v>11502.5</x:v>
      </x:c>
      <x:c r="O23" s="11" t="n">
        <x:f>ROUND(N23-J23,2)</x:f>
        <x:v>0</x:v>
      </x:c>
    </x:row>
    <x:row r="24" ht="84" customHeight="1">
      <x:c r="A24" s="8" t="str">
        <x:v>ED-0001</x:v>
      </x:c>
      <x:c r="B24" s="8" t="str">
        <x:v>Diamantino</x:v>
      </x:c>
      <x:c r="C24" s="8" t="str">
        <x:v>Rosário Oeste</x:v>
      </x:c>
      <x:c r="D24" s="8" t="n">
        <x:v>20</x:v>
      </x:c>
      <x:c r="E24" s="8" t="str">
        <x:v>CENOURA</x:v>
      </x:c>
      <x:c r="F24" s="8" t="str">
        <x:v>CENOURA, inteira, livre de</x:v>
      </x:c>
      <x:c r="G24" s="8" t="str">
        <x:v>Quilograma</x:v>
      </x:c>
      <x:c r="H24" s="11" t="n">
        <x:v>1267</x:v>
      </x:c>
      <x:c r="I24" s="11" t="n">
        <x:v>6.17</x:v>
      </x:c>
      <x:c r="J24" s="11" t="n">
        <x:v>7817.39</x:v>
      </x:c>
      <x:c r="K24" s="11" t="n">
        <x:v>10</x:v>
      </x:c>
      <x:c r="L24" s="11" t="str">
        <x:v>Extração parcial do início da descrição; conferir unidade/descrição completa no PDF.</x:v>
      </x:c>
      <x:c r="M24" s="11" t="str">
        <x:v>DOC-0001</x:v>
      </x:c>
      <x:c r="N24" s="11" t="n">
        <x:f>H24*I24</x:f>
        <x:v>7817.39</x:v>
      </x:c>
      <x:c r="O24" s="11" t="n">
        <x:f>ROUND(N24-J24,2)</x:f>
        <x:v>0</x:v>
      </x:c>
    </x:row>
    <x:row r="25" ht="84" customHeight="1">
      <x:c r="A25" s="8" t="str">
        <x:v>ED-0001</x:v>
      </x:c>
      <x:c r="B25" s="8" t="str">
        <x:v>Diamantino</x:v>
      </x:c>
      <x:c r="C25" s="8" t="str">
        <x:v>Rosário Oeste</x:v>
      </x:c>
      <x:c r="D25" s="8" t="n">
        <x:v>21</x:v>
      </x:c>
      <x:c r="E25" s="8" t="str">
        <x:v>COENTRO</x:v>
      </x:c>
      <x:c r="F25" s="8" t="str">
        <x:v>COENTRO, com talos e folhas</x:v>
      </x:c>
      <x:c r="G25" s="8" t="str">
        <x:v>Quilograma</x:v>
      </x:c>
      <x:c r="H25" s="11" t="n">
        <x:v>44</x:v>
      </x:c>
      <x:c r="I25" s="11" t="n">
        <x:v>31.61</x:v>
      </x:c>
      <x:c r="J25" s="11" t="n">
        <x:v>1390.84</x:v>
      </x:c>
      <x:c r="K25" s="11" t="n">
        <x:v>10</x:v>
      </x:c>
      <x:c r="L25" s="11" t="str">
        <x:v>Extração parcial do início da descrição; conferir unidade/descrição completa no PDF.</x:v>
      </x:c>
      <x:c r="M25" s="11" t="str">
        <x:v>DOC-0001</x:v>
      </x:c>
      <x:c r="N25" s="11" t="n">
        <x:f>H25*I25</x:f>
        <x:v>1390.84</x:v>
      </x:c>
      <x:c r="O25" s="11" t="n">
        <x:f>ROUND(N25-J25,2)</x:f>
        <x:v>0</x:v>
      </x:c>
    </x:row>
    <x:row r="26" ht="84" customHeight="1">
      <x:c r="A26" s="8" t="str">
        <x:v>ED-0001</x:v>
      </x:c>
      <x:c r="B26" s="8" t="str">
        <x:v>Diamantino</x:v>
      </x:c>
      <x:c r="C26" s="8" t="str">
        <x:v>Rosário Oeste</x:v>
      </x:c>
      <x:c r="D26" s="8" t="n">
        <x:v>22</x:v>
      </x:c>
      <x:c r="E26" s="8" t="str">
        <x:v>COLORAU</x:v>
      </x:c>
      <x:c r="F26" s="8" t="str">
        <x:v>COLORAU, corante, natural de</x:v>
      </x:c>
      <x:c r="G26" s="8" t="str">
        <x:v>Unidade de</x:v>
      </x:c>
      <x:c r="H26" s="11" t="n">
        <x:v>3406</x:v>
      </x:c>
      <x:c r="I26" s="11" t="n">
        <x:v>2.9</x:v>
      </x:c>
      <x:c r="J26" s="11" t="n">
        <x:v>9877.4</x:v>
      </x:c>
      <x:c r="K26" s="11" t="n">
        <x:v>11</x:v>
      </x:c>
      <x:c r="L26" s="11" t="str">
        <x:v>Extração parcial do início da descrição; conferir unidade/descrição completa no PDF.</x:v>
      </x:c>
      <x:c r="M26" s="11" t="str">
        <x:v>DOC-0001</x:v>
      </x:c>
      <x:c r="N26" s="11" t="n">
        <x:f>H26*I26</x:f>
        <x:v>9877.4</x:v>
      </x:c>
      <x:c r="O26" s="11" t="n">
        <x:f>ROUND(N26-J26,2)</x:f>
        <x:v>0</x:v>
      </x:c>
    </x:row>
    <x:row r="27" ht="84" customHeight="1">
      <x:c r="A27" s="8" t="str">
        <x:v>ED-0001</x:v>
      </x:c>
      <x:c r="B27" s="8" t="str">
        <x:v>Diamantino</x:v>
      </x:c>
      <x:c r="C27" s="8" t="str">
        <x:v>Rosário Oeste</x:v>
      </x:c>
      <x:c r="D27" s="8" t="n">
        <x:v>23</x:v>
      </x:c>
      <x:c r="E27" s="8" t="str">
        <x:v>COUVE</x:v>
      </x:c>
      <x:c r="F27" s="8" t="str">
        <x:v>COUVE, manteiga com folhas</x:v>
      </x:c>
      <x:c r="G27" s="8" t="str">
        <x:v>Quilograma</x:v>
      </x:c>
      <x:c r="H27" s="11" t="n">
        <x:v>1476</x:v>
      </x:c>
      <x:c r="I27" s="11" t="n">
        <x:v>21.77</x:v>
      </x:c>
      <x:c r="J27" s="11" t="n">
        <x:v>32132.52</x:v>
      </x:c>
      <x:c r="K27" s="11" t="n">
        <x:v>11</x:v>
      </x:c>
      <x:c r="L27" s="11" t="str">
        <x:v>Extração parcial do início da descrição; conferir unidade/descrição completa no PDF.</x:v>
      </x:c>
      <x:c r="M27" s="11" t="str">
        <x:v>DOC-0001</x:v>
      </x:c>
      <x:c r="N27" s="11" t="n">
        <x:f>H27*I27</x:f>
        <x:v>32132.52</x:v>
      </x:c>
      <x:c r="O27" s="11" t="n">
        <x:f>ROUND(N27-J27,2)</x:f>
        <x:v>0</x:v>
      </x:c>
    </x:row>
    <x:row r="28" ht="84" customHeight="1">
      <x:c r="A28" s="8" t="str">
        <x:v>ED-0001</x:v>
      </x:c>
      <x:c r="B28" s="8" t="str">
        <x:v>Diamantino</x:v>
      </x:c>
      <x:c r="C28" s="8" t="str">
        <x:v>Rosário Oeste</x:v>
      </x:c>
      <x:c r="D28" s="8" t="n">
        <x:v>24</x:v>
      </x:c>
      <x:c r="E28" s="8" t="str">
        <x:v>FARINHA DE MANDIOCA</x:v>
      </x:c>
      <x:c r="F28" s="8" t="str">
        <x:v>FARINHA DE MANDIOCA, do</x:v>
      </x:c>
      <x:c r="G28" s="8" t="str">
        <x:v>Unidade de</x:v>
      </x:c>
      <x:c r="H28" s="11" t="n">
        <x:v>650</x:v>
      </x:c>
      <x:c r="I28" s="11" t="n">
        <x:v>10.05</x:v>
      </x:c>
      <x:c r="J28" s="11" t="n">
        <x:v>6532.5</x:v>
      </x:c>
      <x:c r="K28" s="11" t="n">
        <x:v>11</x:v>
      </x:c>
      <x:c r="L28" s="11" t="str">
        <x:v>Extração parcial do início da descrição; conferir unidade/descrição completa no PDF.</x:v>
      </x:c>
      <x:c r="M28" s="11" t="str">
        <x:v>DOC-0001</x:v>
      </x:c>
      <x:c r="N28" s="11" t="n">
        <x:f>H28*I28</x:f>
        <x:v>6532.500000000001</x:v>
      </x:c>
      <x:c r="O28" s="11" t="n">
        <x:f>ROUND(N28-J28,2)</x:f>
        <x:v>0</x:v>
      </x:c>
    </x:row>
    <x:row r="29" ht="84" customHeight="1">
      <x:c r="A29" s="8" t="str">
        <x:v>ED-0001</x:v>
      </x:c>
      <x:c r="B29" s="8" t="str">
        <x:v>Diamantino</x:v>
      </x:c>
      <x:c r="C29" s="8" t="str">
        <x:v>Rosário Oeste</x:v>
      </x:c>
      <x:c r="D29" s="8" t="n">
        <x:v>25</x:v>
      </x:c>
      <x:c r="E29" s="8" t="str">
        <x:v>INHAME</x:v>
      </x:c>
      <x:c r="F29" s="8" t="str">
        <x:v>INHAME, in natura, tamanho e</x:v>
      </x:c>
      <x:c r="G29" s="8" t="str">
        <x:v>Quilograma</x:v>
      </x:c>
      <x:c r="H29" s="11" t="n">
        <x:v>285</x:v>
      </x:c>
      <x:c r="I29" s="11" t="n">
        <x:v>13.69</x:v>
      </x:c>
      <x:c r="J29" s="11" t="n">
        <x:v>3901.65</x:v>
      </x:c>
      <x:c r="K29" s="11" t="n">
        <x:v>12</x:v>
      </x:c>
      <x:c r="L29" s="11" t="str">
        <x:v>Extração parcial do início da descrição; conferir unidade/descrição completa no PDF.</x:v>
      </x:c>
      <x:c r="M29" s="11" t="str">
        <x:v>DOC-0001</x:v>
      </x:c>
      <x:c r="N29" s="11" t="n">
        <x:f>H29*I29</x:f>
        <x:v>3901.6499999999996</x:v>
      </x:c>
      <x:c r="O29" s="11" t="n">
        <x:f>ROUND(N29-J29,2)</x:f>
        <x:v>0</x:v>
      </x:c>
    </x:row>
    <x:row r="30" ht="84" customHeight="1">
      <x:c r="A30" s="8" t="str">
        <x:v>ED-0001</x:v>
      </x:c>
      <x:c r="B30" s="8" t="str">
        <x:v>Diamantino</x:v>
      </x:c>
      <x:c r="C30" s="8" t="str">
        <x:v>Rosário Oeste</x:v>
      </x:c>
      <x:c r="D30" s="8" t="n">
        <x:v>26</x:v>
      </x:c>
      <x:c r="E30" s="8" t="str">
        <x:v>LARANJA PÊRA</x:v>
      </x:c>
      <x:c r="F30" s="8" t="str">
        <x:v>LARANJA PÊRA, inteira, livre</x:v>
      </x:c>
      <x:c r="G30" s="8" t="str">
        <x:v>Quilograma</x:v>
      </x:c>
      <x:c r="H30" s="11" t="n">
        <x:v>2005</x:v>
      </x:c>
      <x:c r="I30" s="11" t="n">
        <x:v>7.66</x:v>
      </x:c>
      <x:c r="J30" s="11" t="n">
        <x:v>15358.3</x:v>
      </x:c>
      <x:c r="K30" s="11" t="n">
        <x:v>12</x:v>
      </x:c>
      <x:c r="L30" s="11" t="str">
        <x:v>Extração parcial do início da descrição; conferir unidade/descrição completa no PDF.</x:v>
      </x:c>
      <x:c r="M30" s="11" t="str">
        <x:v>DOC-0001</x:v>
      </x:c>
      <x:c r="N30" s="11" t="n">
        <x:f>H30*I30</x:f>
        <x:v>15358.300000000001</x:v>
      </x:c>
      <x:c r="O30" s="11" t="n">
        <x:f>ROUND(N30-J30,2)</x:f>
        <x:v>0</x:v>
      </x:c>
    </x:row>
    <x:row r="31" ht="84" customHeight="1">
      <x:c r="A31" s="8" t="str">
        <x:v>ED-0001</x:v>
      </x:c>
      <x:c r="B31" s="8" t="str">
        <x:v>Diamantino</x:v>
      </x:c>
      <x:c r="C31" s="8" t="str">
        <x:v>Rosário Oeste</x:v>
      </x:c>
      <x:c r="D31" s="8" t="n">
        <x:v>27</x:v>
      </x:c>
      <x:c r="E31" s="8" t="str">
        <x:v>LEITE          PASTEURIZADO</x:v>
      </x:c>
      <x:c r="F31" s="8" t="str">
        <x:v>LEITE          PASTEURIZADO</x:v>
      </x:c>
      <x:c r="G31" s="8" t="str">
        <x:v>Unidade de</x:v>
      </x:c>
      <x:c r="H31" s="11" t="n">
        <x:v>10991</x:v>
      </x:c>
      <x:c r="I31" s="11" t="n">
        <x:v>7.73</x:v>
      </x:c>
      <x:c r="J31" s="11" t="n">
        <x:v>84960.43</x:v>
      </x:c>
      <x:c r="K31" s="11" t="n">
        <x:v>13</x:v>
      </x:c>
      <x:c r="L31" s="11" t="str">
        <x:v>Extração parcial do início da descrição; conferir unidade/descrição completa no PDF.</x:v>
      </x:c>
      <x:c r="M31" s="11" t="str">
        <x:v>DOC-0001</x:v>
      </x:c>
      <x:c r="N31" s="11" t="n">
        <x:f>H31*I31</x:f>
        <x:v>84960.43000000001</x:v>
      </x:c>
      <x:c r="O31" s="11" t="n">
        <x:f>ROUND(N31-J31,2)</x:f>
        <x:v>0</x:v>
      </x:c>
    </x:row>
    <x:row r="32" ht="84" customHeight="1">
      <x:c r="A32" s="8" t="str">
        <x:v>ED-0001</x:v>
      </x:c>
      <x:c r="B32" s="8" t="str">
        <x:v>Diamantino</x:v>
      </x:c>
      <x:c r="C32" s="8" t="str">
        <x:v>Rosário Oeste</x:v>
      </x:c>
      <x:c r="D32" s="8" t="n">
        <x:v>28</x:v>
      </x:c>
      <x:c r="E32" s="8" t="str">
        <x:v>LIMÃO TAHITI</x:v>
      </x:c>
      <x:c r="F32" s="8" t="str">
        <x:v>LIMÃO TAHITI, inteiro, livre</x:v>
      </x:c>
      <x:c r="G32" s="8" t="str">
        <x:v>Quilograma</x:v>
      </x:c>
      <x:c r="H32" s="11" t="n">
        <x:v>301</x:v>
      </x:c>
      <x:c r="I32" s="11" t="n">
        <x:v>9.67</x:v>
      </x:c>
      <x:c r="J32" s="11" t="n">
        <x:v>2910.67</x:v>
      </x:c>
      <x:c r="K32" s="11" t="n">
        <x:v>13</x:v>
      </x:c>
      <x:c r="L32" s="11" t="str">
        <x:v>Extração parcial do início da descrição; conferir unidade/descrição completa no PDF.</x:v>
      </x:c>
      <x:c r="M32" s="11" t="str">
        <x:v>DOC-0001</x:v>
      </x:c>
      <x:c r="N32" s="11" t="n">
        <x:f>H32*I32</x:f>
        <x:v>2910.67</x:v>
      </x:c>
      <x:c r="O32" s="11" t="n">
        <x:f>ROUND(N32-J32,2)</x:f>
        <x:v>0</x:v>
      </x:c>
    </x:row>
    <x:row r="33" ht="84" customHeight="1">
      <x:c r="A33" s="8" t="str">
        <x:v>ED-0001</x:v>
      </x:c>
      <x:c r="B33" s="8" t="str">
        <x:v>Diamantino</x:v>
      </x:c>
      <x:c r="C33" s="8" t="str">
        <x:v>Rosário Oeste</x:v>
      </x:c>
      <x:c r="D33" s="8" t="n">
        <x:v>29</x:v>
      </x:c>
      <x:c r="E33" s="8" t="str">
        <x:v>MAMÃO FORMOSA</x:v>
      </x:c>
      <x:c r="F33" s="8" t="str">
        <x:v>MAMÃO FORMOSA, livre de</x:v>
      </x:c>
      <x:c r="G33" s="8" t="str">
        <x:v>Quilograma</x:v>
      </x:c>
      <x:c r="H33" s="11" t="n">
        <x:v>638</x:v>
      </x:c>
      <x:c r="I33" s="11" t="n">
        <x:v>7.86</x:v>
      </x:c>
      <x:c r="J33" s="11" t="n">
        <x:v>5014.68</x:v>
      </x:c>
      <x:c r="K33" s="11" t="n">
        <x:v>14</x:v>
      </x:c>
      <x:c r="L33" s="11" t="str">
        <x:v>Extração parcial do início da descrição; conferir unidade/descrição completa no PDF.</x:v>
      </x:c>
      <x:c r="M33" s="11" t="str">
        <x:v>DOC-0001</x:v>
      </x:c>
      <x:c r="N33" s="11" t="n">
        <x:f>H33*I33</x:f>
        <x:v>5014.68</x:v>
      </x:c>
      <x:c r="O33" s="11" t="n">
        <x:f>ROUND(N33-J33,2)</x:f>
        <x:v>0</x:v>
      </x:c>
    </x:row>
    <x:row r="34" ht="84" customHeight="1">
      <x:c r="A34" s="8" t="str">
        <x:v>ED-0001</x:v>
      </x:c>
      <x:c r="B34" s="8" t="str">
        <x:v>Diamantino</x:v>
      </x:c>
      <x:c r="C34" s="8" t="str">
        <x:v>Rosário Oeste</x:v>
      </x:c>
      <x:c r="D34" s="8" t="n">
        <x:v>30</x:v>
      </x:c>
      <x:c r="E34" s="8" t="str">
        <x:v>MANDIOCA DESCASCADA</x:v>
      </x:c>
      <x:c r="F34" s="8" t="str">
        <x:v>MANDIOCA DESCASCADA</x:v>
      </x:c>
      <x:c r="G34" s="8" t="str">
        <x:v>Unidade de</x:v>
      </x:c>
      <x:c r="H34" s="11" t="n">
        <x:v>876</x:v>
      </x:c>
      <x:c r="I34" s="11" t="n">
        <x:v>10.03</x:v>
      </x:c>
      <x:c r="J34" s="11" t="n">
        <x:v>8786.28</x:v>
      </x:c>
      <x:c r="K34" s="11" t="n">
        <x:v>14</x:v>
      </x:c>
      <x:c r="L34" s="11" t="str">
        <x:v>Extração parcial do início da descrição; conferir unidade/descrição completa no PDF.</x:v>
      </x:c>
      <x:c r="M34" s="11" t="str">
        <x:v>DOC-0001</x:v>
      </x:c>
      <x:c r="N34" s="11" t="n">
        <x:f>H34*I34</x:f>
        <x:v>8786.279999999999</x:v>
      </x:c>
      <x:c r="O34" s="11" t="n">
        <x:f>ROUND(N34-J34,2)</x:f>
        <x:v>0</x:v>
      </x:c>
    </x:row>
    <x:row r="35" ht="84" customHeight="1">
      <x:c r="A35" s="8" t="str">
        <x:v>ED-0001</x:v>
      </x:c>
      <x:c r="B35" s="8" t="str">
        <x:v>Diamantino</x:v>
      </x:c>
      <x:c r="C35" s="8" t="str">
        <x:v>Rosário Oeste</x:v>
      </x:c>
      <x:c r="D35" s="8" t="n">
        <x:v>31</x:v>
      </x:c>
      <x:c r="E35" s="8" t="str">
        <x:v>MANTEIGA PURA COM SAL</x:v>
      </x:c>
      <x:c r="F35" s="8" t="str">
        <x:v>MANTEIGA PURA COM SAL,</x:v>
      </x:c>
      <x:c r="G35" s="8" t="str">
        <x:v>Unidade de</x:v>
      </x:c>
      <x:c r="H35" s="11" t="n">
        <x:v>1221</x:v>
      </x:c>
      <x:c r="I35" s="11" t="n">
        <x:v>35.21</x:v>
      </x:c>
      <x:c r="J35" s="11" t="n">
        <x:v>42991.41</x:v>
      </x:c>
      <x:c r="K35" s="11" t="n">
        <x:v>14</x:v>
      </x:c>
      <x:c r="L35" s="11" t="str">
        <x:v>Extração parcial do início da descrição; conferir unidade/descrição completa no PDF.</x:v>
      </x:c>
      <x:c r="M35" s="11" t="str">
        <x:v>DOC-0001</x:v>
      </x:c>
      <x:c r="N35" s="11" t="n">
        <x:f>H35*I35</x:f>
        <x:v>42991.41</x:v>
      </x:c>
      <x:c r="O35" s="11" t="n">
        <x:f>ROUND(N35-J35,2)</x:f>
        <x:v>0</x:v>
      </x:c>
    </x:row>
    <x:row r="36" ht="84" customHeight="1">
      <x:c r="A36" s="8" t="str">
        <x:v>ED-0001</x:v>
      </x:c>
      <x:c r="B36" s="8" t="str">
        <x:v>Diamantino</x:v>
      </x:c>
      <x:c r="C36" s="8" t="str">
        <x:v>Rosário Oeste</x:v>
      </x:c>
      <x:c r="D36" s="8" t="n">
        <x:v>33</x:v>
      </x:c>
      <x:c r="E36" s="8" t="str">
        <x:v>MELÃO</x:v>
      </x:c>
      <x:c r="F36" s="8" t="str">
        <x:v>MELÃO, inteiro, livre de</x:v>
      </x:c>
      <x:c r="G36" s="8" t="str">
        <x:v>Quilograma</x:v>
      </x:c>
      <x:c r="H36" s="11" t="n">
        <x:v>966</x:v>
      </x:c>
      <x:c r="I36" s="11" t="n">
        <x:v>7.71</x:v>
      </x:c>
      <x:c r="J36" s="11" t="n">
        <x:v>7447.86</x:v>
      </x:c>
      <x:c r="K36" s="11" t="n">
        <x:v>15</x:v>
      </x:c>
      <x:c r="L36" s="11" t="str">
        <x:v>Extração parcial do início da descrição; conferir unidade/descrição completa no PDF.</x:v>
      </x:c>
      <x:c r="M36" s="11" t="str">
        <x:v>DOC-0001</x:v>
      </x:c>
      <x:c r="N36" s="11" t="n">
        <x:f>H36*I36</x:f>
        <x:v>7447.86</x:v>
      </x:c>
      <x:c r="O36" s="11" t="n">
        <x:f>ROUND(N36-J36,2)</x:f>
        <x:v>0</x:v>
      </x:c>
    </x:row>
    <x:row r="37" ht="84" customHeight="1">
      <x:c r="A37" s="8" t="str">
        <x:v>ED-0001</x:v>
      </x:c>
      <x:c r="B37" s="8" t="str">
        <x:v>Diamantino</x:v>
      </x:c>
      <x:c r="C37" s="8" t="str">
        <x:v>Rosário Oeste</x:v>
      </x:c>
      <x:c r="D37" s="8" t="n">
        <x:v>34</x:v>
      </x:c>
      <x:c r="E37" s="8" t="str">
        <x:v>PÃO CASEIRO</x:v>
      </x:c>
      <x:c r="F37" s="8" t="str">
        <x:v>PÃO CASEIRO, de boa</x:v>
      </x:c>
      <x:c r="G37" s="8" t="str">
        <x:v>Quilograma</x:v>
      </x:c>
      <x:c r="H37" s="11" t="n">
        <x:v>2134</x:v>
      </x:c>
      <x:c r="I37" s="11" t="n">
        <x:v>24</x:v>
      </x:c>
      <x:c r="J37" s="11" t="n">
        <x:v>51216</x:v>
      </x:c>
      <x:c r="K37" s="11" t="n">
        <x:v>16</x:v>
      </x:c>
      <x:c r="L37" s="11" t="str">
        <x:v>Extração parcial do início da descrição; conferir unidade/descrição completa no PDF.</x:v>
      </x:c>
      <x:c r="M37" s="11" t="str">
        <x:v>DOC-0001</x:v>
      </x:c>
      <x:c r="N37" s="11" t="n">
        <x:f>H37*I37</x:f>
        <x:v>51216</x:v>
      </x:c>
      <x:c r="O37" s="11" t="n">
        <x:f>ROUND(N37-J37,2)</x:f>
        <x:v>0</x:v>
      </x:c>
    </x:row>
    <x:row r="38" ht="84" customHeight="1">
      <x:c r="A38" s="8" t="str">
        <x:v>ED-0001</x:v>
      </x:c>
      <x:c r="B38" s="8" t="str">
        <x:v>Diamantino</x:v>
      </x:c>
      <x:c r="C38" s="8" t="str">
        <x:v>Rosário Oeste</x:v>
      </x:c>
      <x:c r="D38" s="8" t="n">
        <x:v>35</x:v>
      </x:c>
      <x:c r="E38" s="8" t="str">
        <x:v>PEIXE PINTADO FILÉ</x:v>
      </x:c>
      <x:c r="F38" s="8" t="str">
        <x:v>PEIXE PINTADO FILÉ, de</x:v>
      </x:c>
      <x:c r="G38" s="8" t="str">
        <x:v>Unidade de</x:v>
      </x:c>
      <x:c r="H38" s="11" t="n">
        <x:v>514</x:v>
      </x:c>
      <x:c r="I38" s="11" t="n">
        <x:v>72.52</x:v>
      </x:c>
      <x:c r="J38" s="11" t="n">
        <x:v>37275.28</x:v>
      </x:c>
      <x:c r="K38" s="11" t="n">
        <x:v>16</x:v>
      </x:c>
      <x:c r="L38" s="11" t="str">
        <x:v>Extração parcial do início da descrição; conferir unidade/descrição completa no PDF.</x:v>
      </x:c>
      <x:c r="M38" s="11" t="str">
        <x:v>DOC-0001</x:v>
      </x:c>
      <x:c r="N38" s="11" t="n">
        <x:f>H38*I38</x:f>
        <x:v>37275.28</x:v>
      </x:c>
      <x:c r="O38" s="11" t="n">
        <x:f>ROUND(N38-J38,2)</x:f>
        <x:v>0</x:v>
      </x:c>
    </x:row>
    <x:row r="39" ht="84" customHeight="1">
      <x:c r="A39" s="8" t="str">
        <x:v>ED-0001</x:v>
      </x:c>
      <x:c r="B39" s="8" t="str">
        <x:v>Diamantino</x:v>
      </x:c>
      <x:c r="C39" s="8" t="str">
        <x:v>Rosário Oeste</x:v>
      </x:c>
      <x:c r="D39" s="8" t="n">
        <x:v>36</x:v>
      </x:c>
      <x:c r="E39" s="8" t="str">
        <x:v>PEIXE TILÁPIA FILÉ</x:v>
      </x:c>
      <x:c r="F39" s="8" t="str">
        <x:v>PEIXE TILÁPIA FILÉ, peixe de</x:v>
      </x:c>
      <x:c r="G39" s="8" t="str">
        <x:v>Unidade de</x:v>
      </x:c>
      <x:c r="H39" s="11" t="n">
        <x:v>513</x:v>
      </x:c>
      <x:c r="I39" s="11" t="n">
        <x:v>71.87</x:v>
      </x:c>
      <x:c r="J39" s="11" t="n">
        <x:v>36869.31</x:v>
      </x:c>
      <x:c r="K39" s="11" t="n">
        <x:v>16</x:v>
      </x:c>
      <x:c r="L39" s="11" t="str">
        <x:v>Extração parcial do início da descrição; conferir unidade/descrição completa no PDF.</x:v>
      </x:c>
      <x:c r="M39" s="11" t="str">
        <x:v>DOC-0001</x:v>
      </x:c>
      <x:c r="N39" s="11" t="n">
        <x:f>H39*I39</x:f>
        <x:v>36869.310000000005</x:v>
      </x:c>
      <x:c r="O39" s="11" t="n">
        <x:f>ROUND(N39-J39,2)</x:f>
        <x:v>0</x:v>
      </x:c>
    </x:row>
    <x:row r="40" ht="84" customHeight="1">
      <x:c r="A40" s="8" t="str">
        <x:v>ED-0001</x:v>
      </x:c>
      <x:c r="B40" s="8" t="str">
        <x:v>Diamantino</x:v>
      </x:c>
      <x:c r="C40" s="8" t="str">
        <x:v>Rosário Oeste</x:v>
      </x:c>
      <x:c r="D40" s="8" t="n">
        <x:v>37</x:v>
      </x:c>
      <x:c r="E40" s="8" t="str">
        <x:v>PEPINO</x:v>
      </x:c>
      <x:c r="F40" s="8" t="str">
        <x:v>PEPINO, inteiro, livre de</x:v>
      </x:c>
      <x:c r="G40" s="8" t="str">
        <x:v>Quilograma</x:v>
      </x:c>
      <x:c r="H40" s="11" t="n">
        <x:v>284</x:v>
      </x:c>
      <x:c r="I40" s="11" t="n">
        <x:v>6.9</x:v>
      </x:c>
      <x:c r="J40" s="11" t="n">
        <x:v>1959.6</x:v>
      </x:c>
      <x:c r="K40" s="11" t="n">
        <x:v>17</x:v>
      </x:c>
      <x:c r="L40" s="11" t="str">
        <x:v>Extração parcial do início da descrição; conferir unidade/descrição completa no PDF.</x:v>
      </x:c>
      <x:c r="M40" s="11" t="str">
        <x:v>DOC-0001</x:v>
      </x:c>
      <x:c r="N40" s="11" t="n">
        <x:f>H40*I40</x:f>
        <x:v>1959.6000000000001</x:v>
      </x:c>
      <x:c r="O40" s="11" t="n">
        <x:f>ROUND(N40-J40,2)</x:f>
        <x:v>0</x:v>
      </x:c>
    </x:row>
    <x:row r="41" ht="84" customHeight="1">
      <x:c r="A41" s="8" t="str">
        <x:v>ED-0001</x:v>
      </x:c>
      <x:c r="B41" s="8" t="str">
        <x:v>Diamantino</x:v>
      </x:c>
      <x:c r="C41" s="8" t="str">
        <x:v>Rosário Oeste</x:v>
      </x:c>
      <x:c r="D41" s="8" t="n">
        <x:v>38</x:v>
      </x:c>
      <x:c r="E41" s="8" t="str">
        <x:v>PIMENTA         DE      CHEIRO</x:v>
      </x:c>
      <x:c r="F41" s="8" t="str">
        <x:v>PIMENTA         DE      CHEIRO,</x:v>
      </x:c>
      <x:c r="G41" s="8" t="str">
        <x:v>Quilograma</x:v>
      </x:c>
      <x:c r="H41" s="11" t="n">
        <x:v>94</x:v>
      </x:c>
      <x:c r="I41" s="11" t="n">
        <x:v>30.93</x:v>
      </x:c>
      <x:c r="J41" s="11" t="n">
        <x:v>2907.42</x:v>
      </x:c>
      <x:c r="K41" s="11" t="n">
        <x:v>17</x:v>
      </x:c>
      <x:c r="L41" s="11" t="str">
        <x:v>Extração parcial do início da descrição; conferir unidade/descrição completa no PDF.</x:v>
      </x:c>
      <x:c r="M41" s="11" t="str">
        <x:v>DOC-0001</x:v>
      </x:c>
      <x:c r="N41" s="11" t="n">
        <x:f>H41*I41</x:f>
        <x:v>2907.42</x:v>
      </x:c>
      <x:c r="O41" s="11" t="n">
        <x:f>ROUND(N41-J41,2)</x:f>
        <x:v>0</x:v>
      </x:c>
    </x:row>
    <x:row r="42" ht="84" customHeight="1">
      <x:c r="A42" s="8" t="str">
        <x:v>ED-0001</x:v>
      </x:c>
      <x:c r="B42" s="8" t="str">
        <x:v>Diamantino</x:v>
      </x:c>
      <x:c r="C42" s="8" t="str">
        <x:v>Rosário Oeste</x:v>
      </x:c>
      <x:c r="D42" s="8" t="n">
        <x:v>39</x:v>
      </x:c>
      <x:c r="E42" s="8" t="str">
        <x:v>PIMENTÃO VERDE</x:v>
      </x:c>
      <x:c r="F42" s="8" t="str">
        <x:v>PIMENTÃO VERDE, inteiro,</x:v>
      </x:c>
      <x:c r="G42" s="8" t="str">
        <x:v>Quilograma</x:v>
      </x:c>
      <x:c r="H42" s="11" t="n">
        <x:v>81</x:v>
      </x:c>
      <x:c r="I42" s="11" t="n">
        <x:v>10.69</x:v>
      </x:c>
      <x:c r="J42" s="11" t="n">
        <x:v>865.89</x:v>
      </x:c>
      <x:c r="K42" s="11" t="n">
        <x:v>17</x:v>
      </x:c>
      <x:c r="L42" s="11" t="str">
        <x:v>Extração parcial do início da descrição; conferir unidade/descrição completa no PDF.</x:v>
      </x:c>
      <x:c r="M42" s="11" t="str">
        <x:v>DOC-0001</x:v>
      </x:c>
      <x:c r="N42" s="11" t="n">
        <x:f>H42*I42</x:f>
        <x:v>865.89</x:v>
      </x:c>
      <x:c r="O42" s="11" t="n">
        <x:f>ROUND(N42-J42,2)</x:f>
        <x:v>0</x:v>
      </x:c>
    </x:row>
    <x:row r="43" ht="84" customHeight="1">
      <x:c r="A43" s="8" t="str">
        <x:v>ED-0001</x:v>
      </x:c>
      <x:c r="B43" s="8" t="str">
        <x:v>Diamantino</x:v>
      </x:c>
      <x:c r="C43" s="8" t="str">
        <x:v>Rosário Oeste</x:v>
      </x:c>
      <x:c r="D43" s="8" t="n">
        <x:v>40</x:v>
      </x:c>
      <x:c r="E43" s="8" t="str">
        <x:v>POLPA DE ABACAXI</x:v>
      </x:c>
      <x:c r="F43" s="8" t="str">
        <x:v>POLPA DE ABACAXI, SEM</x:v>
      </x:c>
      <x:c r="G43" s="8" t="str">
        <x:v>Unidade de</x:v>
      </x:c>
      <x:c r="H43" s="11" t="n">
        <x:v>747</x:v>
      </x:c>
      <x:c r="I43" s="11" t="n">
        <x:v>26.99</x:v>
      </x:c>
      <x:c r="J43" s="11" t="n">
        <x:v>20161.53</x:v>
      </x:c>
      <x:c r="K43" s="11" t="n">
        <x:v>18</x:v>
      </x:c>
      <x:c r="L43" s="11" t="str">
        <x:v>Extração parcial do início da descrição; conferir unidade/descrição completa no PDF.</x:v>
      </x:c>
      <x:c r="M43" s="11" t="str">
        <x:v>DOC-0001</x:v>
      </x:c>
      <x:c r="N43" s="11" t="n">
        <x:f>H43*I43</x:f>
        <x:v>20161.53</x:v>
      </x:c>
      <x:c r="O43" s="11" t="n">
        <x:f>ROUND(N43-J43,2)</x:f>
        <x:v>0</x:v>
      </x:c>
    </x:row>
    <x:row r="44" ht="84" customHeight="1">
      <x:c r="A44" s="8" t="str">
        <x:v>ED-0001</x:v>
      </x:c>
      <x:c r="B44" s="8" t="str">
        <x:v>Diamantino</x:v>
      </x:c>
      <x:c r="C44" s="8" t="str">
        <x:v>Rosário Oeste</x:v>
      </x:c>
      <x:c r="D44" s="8" t="n">
        <x:v>41</x:v>
      </x:c>
      <x:c r="E44" s="8" t="str">
        <x:v>POLPA DE ACEROLA</x:v>
      </x:c>
      <x:c r="F44" s="8" t="str">
        <x:v>POLPA DE ACEROLA, SEM</x:v>
      </x:c>
      <x:c r="G44" s="8" t="str">
        <x:v>Unidade de</x:v>
      </x:c>
      <x:c r="H44" s="11" t="n">
        <x:v>747</x:v>
      </x:c>
      <x:c r="I44" s="11" t="n">
        <x:v>27.55</x:v>
      </x:c>
      <x:c r="J44" s="11" t="n">
        <x:v>20579.85</x:v>
      </x:c>
      <x:c r="K44" s="11" t="n">
        <x:v>18</x:v>
      </x:c>
      <x:c r="L44" s="11" t="str">
        <x:v>Extração parcial do início da descrição; conferir unidade/descrição completa no PDF.</x:v>
      </x:c>
      <x:c r="M44" s="11" t="str">
        <x:v>DOC-0001</x:v>
      </x:c>
      <x:c r="N44" s="11" t="n">
        <x:f>H44*I44</x:f>
        <x:v>20579.850000000002</x:v>
      </x:c>
      <x:c r="O44" s="11" t="n">
        <x:f>ROUND(N44-J44,2)</x:f>
        <x:v>0</x:v>
      </x:c>
    </x:row>
    <x:row r="45" ht="84" customHeight="1">
      <x:c r="A45" s="8" t="str">
        <x:v>ED-0001</x:v>
      </x:c>
      <x:c r="B45" s="8" t="str">
        <x:v>Diamantino</x:v>
      </x:c>
      <x:c r="C45" s="8" t="str">
        <x:v>Rosário Oeste</x:v>
      </x:c>
      <x:c r="D45" s="8" t="n">
        <x:v>42</x:v>
      </x:c>
      <x:c r="E45" s="8" t="str">
        <x:v>POLPA DE CAJÚ</x:v>
      </x:c>
      <x:c r="F45" s="8" t="str">
        <x:v>POLPA DE CAJÚ, SEM adição</x:v>
      </x:c>
      <x:c r="G45" s="8" t="str">
        <x:v>Unidade de</x:v>
      </x:c>
      <x:c r="H45" s="11" t="n">
        <x:v>746</x:v>
      </x:c>
      <x:c r="I45" s="11" t="n">
        <x:v>27.83</x:v>
      </x:c>
      <x:c r="J45" s="11" t="n">
        <x:v>20761.18</x:v>
      </x:c>
      <x:c r="K45" s="11" t="n">
        <x:v>19</x:v>
      </x:c>
      <x:c r="L45" s="11" t="str">
        <x:v>Extração parcial do início da descrição; conferir unidade/descrição completa no PDF.</x:v>
      </x:c>
      <x:c r="M45" s="11" t="str">
        <x:v>DOC-0001</x:v>
      </x:c>
      <x:c r="N45" s="11" t="n">
        <x:f>H45*I45</x:f>
        <x:v>20761.18</x:v>
      </x:c>
      <x:c r="O45" s="11" t="n">
        <x:f>ROUND(N45-J45,2)</x:f>
        <x:v>0</x:v>
      </x:c>
    </x:row>
    <x:row r="46" ht="84" customHeight="1">
      <x:c r="A46" s="8" t="str">
        <x:v>ED-0001</x:v>
      </x:c>
      <x:c r="B46" s="8" t="str">
        <x:v>Diamantino</x:v>
      </x:c>
      <x:c r="C46" s="8" t="str">
        <x:v>Rosário Oeste</x:v>
      </x:c>
      <x:c r="D46" s="8" t="n">
        <x:v>43</x:v>
      </x:c>
      <x:c r="E46" s="8" t="str">
        <x:v>PONCÃ</x:v>
      </x:c>
      <x:c r="F46" s="8" t="str">
        <x:v>PONCÃ, inteiro, livre de</x:v>
      </x:c>
      <x:c r="G46" s="8" t="str">
        <x:v>Quilograma</x:v>
      </x:c>
      <x:c r="H46" s="11" t="n">
        <x:v>197</x:v>
      </x:c>
      <x:c r="I46" s="11" t="n">
        <x:v>10.37</x:v>
      </x:c>
      <x:c r="J46" s="11" t="n">
        <x:v>2042.89</x:v>
      </x:c>
      <x:c r="K46" s="11" t="n">
        <x:v>19</x:v>
      </x:c>
      <x:c r="L46" s="11" t="str">
        <x:v>Extração parcial do início da descrição; conferir unidade/descrição completa no PDF.</x:v>
      </x:c>
      <x:c r="M46" s="11" t="str">
        <x:v>DOC-0001</x:v>
      </x:c>
      <x:c r="N46" s="11" t="n">
        <x:f>H46*I46</x:f>
        <x:v>2042.8899999999999</x:v>
      </x:c>
      <x:c r="O46" s="11" t="n">
        <x:f>ROUND(N46-J46,2)</x:f>
        <x:v>0</x:v>
      </x:c>
    </x:row>
    <x:row r="47" ht="84" customHeight="1">
      <x:c r="A47" s="8" t="str">
        <x:v>ED-0001</x:v>
      </x:c>
      <x:c r="B47" s="8" t="str">
        <x:v>Diamantino</x:v>
      </x:c>
      <x:c r="C47" s="8" t="str">
        <x:v>Rosário Oeste</x:v>
      </x:c>
      <x:c r="D47" s="8" t="n">
        <x:v>44</x:v>
      </x:c>
      <x:c r="E47" s="8" t="str">
        <x:v>QUEIJO MUSSARELA</x:v>
      </x:c>
      <x:c r="F47" s="8" t="str">
        <x:v>QUEIJO MUSSARELA, obtido</x:v>
      </x:c>
      <x:c r="G47" s="8" t="str">
        <x:v>Quilograma</x:v>
      </x:c>
      <x:c r="H47" s="11" t="n">
        <x:v>404</x:v>
      </x:c>
      <x:c r="I47" s="11" t="n">
        <x:v>55.26</x:v>
      </x:c>
      <x:c r="J47" s="11" t="n">
        <x:v>22325.04</x:v>
      </x:c>
      <x:c r="K47" s="11" t="n">
        <x:v>19</x:v>
      </x:c>
      <x:c r="L47" s="11" t="str">
        <x:v>Extração parcial do início da descrição; conferir unidade/descrição completa no PDF.</x:v>
      </x:c>
      <x:c r="M47" s="11" t="str">
        <x:v>DOC-0001</x:v>
      </x:c>
      <x:c r="N47" s="11" t="n">
        <x:f>H47*I47</x:f>
        <x:v>22325.04</x:v>
      </x:c>
      <x:c r="O47" s="11" t="n">
        <x:f>ROUND(N47-J47,2)</x:f>
        <x:v>0</x:v>
      </x:c>
    </x:row>
    <x:row r="48" ht="84" customHeight="1">
      <x:c r="A48" s="8" t="str">
        <x:v>ED-0001</x:v>
      </x:c>
      <x:c r="B48" s="8" t="str">
        <x:v>Diamantino</x:v>
      </x:c>
      <x:c r="C48" s="8" t="str">
        <x:v>Rosário Oeste</x:v>
      </x:c>
      <x:c r="D48" s="8" t="n">
        <x:v>45</x:v>
      </x:c>
      <x:c r="E48" s="8" t="str">
        <x:v>REPOLHO BRANCO/VERDE</x:v>
      </x:c>
      <x:c r="F48" s="8" t="str">
        <x:v>REPOLHO BRANCO/VERDE,</x:v>
      </x:c>
      <x:c r="G48" s="8" t="str">
        <x:v>Quilograma</x:v>
      </x:c>
      <x:c r="H48" s="11" t="n">
        <x:v>1165</x:v>
      </x:c>
      <x:c r="I48" s="11" t="n">
        <x:v>5.27</x:v>
      </x:c>
      <x:c r="J48" s="11" t="n">
        <x:v>6139.55</x:v>
      </x:c>
      <x:c r="K48" s="11" t="n">
        <x:v>20</x:v>
      </x:c>
      <x:c r="L48" s="11" t="str">
        <x:v>Extração parcial do início da descrição; conferir unidade/descrição completa no PDF.</x:v>
      </x:c>
      <x:c r="M48" s="11" t="str">
        <x:v>DOC-0001</x:v>
      </x:c>
      <x:c r="N48" s="11" t="n">
        <x:f>H48*I48</x:f>
        <x:v>6139.549999999999</x:v>
      </x:c>
      <x:c r="O48" s="11" t="n">
        <x:f>ROUND(N48-J48,2)</x:f>
        <x:v>0</x:v>
      </x:c>
    </x:row>
    <x:row r="49" ht="84" customHeight="1">
      <x:c r="A49" s="8" t="str">
        <x:v>ED-0001</x:v>
      </x:c>
      <x:c r="B49" s="8" t="str">
        <x:v>Diamantino</x:v>
      </x:c>
      <x:c r="C49" s="8" t="str">
        <x:v>Rosário Oeste</x:v>
      </x:c>
      <x:c r="D49" s="8" t="n">
        <x:v>46</x:v>
      </x:c>
      <x:c r="E49" s="8" t="str">
        <x:v>REQUEIJÃO             CREMOSO</x:v>
      </x:c>
      <x:c r="F49" s="8" t="str">
        <x:v>REQUEIJÃO             CREMOSO,</x:v>
      </x:c>
      <x:c r="G49" s="8" t="str">
        <x:v>Unidade de</x:v>
      </x:c>
      <x:c r="H49" s="11" t="n">
        <x:v>704</x:v>
      </x:c>
      <x:c r="I49" s="11" t="n">
        <x:v>12.48</x:v>
      </x:c>
      <x:c r="J49" s="11" t="n">
        <x:v>8785.92</x:v>
      </x:c>
      <x:c r="K49" s="11" t="n">
        <x:v>20</x:v>
      </x:c>
      <x:c r="L49" s="11" t="str">
        <x:v>Extração parcial do início da descrição; conferir unidade/descrição completa no PDF.</x:v>
      </x:c>
      <x:c r="M49" s="11" t="str">
        <x:v>DOC-0001</x:v>
      </x:c>
      <x:c r="N49" s="11" t="n">
        <x:f>H49*I49</x:f>
        <x:v>8785.92</x:v>
      </x:c>
      <x:c r="O49" s="11" t="n">
        <x:f>ROUND(N49-J49,2)</x:f>
        <x:v>0</x:v>
      </x:c>
    </x:row>
    <x:row r="50" ht="84" customHeight="1">
      <x:c r="A50" s="8" t="str">
        <x:v>ED-0001</x:v>
      </x:c>
      <x:c r="B50" s="8" t="str">
        <x:v>Diamantino</x:v>
      </x:c>
      <x:c r="C50" s="8" t="str">
        <x:v>Rosário Oeste</x:v>
      </x:c>
      <x:c r="D50" s="8" t="n">
        <x:v>47</x:v>
      </x:c>
      <x:c r="E50" s="8" t="str">
        <x:v>RÚCULA</x:v>
      </x:c>
      <x:c r="F50" s="8" t="str">
        <x:v>RÚCULA, com folhas inteiras,</x:v>
      </x:c>
      <x:c r="G50" s="8" t="str">
        <x:v>Quilograma</x:v>
      </x:c>
      <x:c r="H50" s="11" t="n">
        <x:v>688</x:v>
      </x:c>
      <x:c r="I50" s="11" t="n">
        <x:v>24.03</x:v>
      </x:c>
      <x:c r="J50" s="11" t="n">
        <x:v>16532.64</x:v>
      </x:c>
      <x:c r="K50" s="11" t="n">
        <x:v>21</x:v>
      </x:c>
      <x:c r="L50" s="11" t="str">
        <x:v>Extração parcial do início da descrição; conferir unidade/descrição completa no PDF.</x:v>
      </x:c>
      <x:c r="M50" s="11" t="str">
        <x:v>DOC-0001</x:v>
      </x:c>
      <x:c r="N50" s="11" t="n">
        <x:f>H50*I50</x:f>
        <x:v>16532.64</x:v>
      </x:c>
      <x:c r="O50" s="11" t="n">
        <x:f>ROUND(N50-J50,2)</x:f>
        <x:v>0</x:v>
      </x:c>
    </x:row>
    <x:row r="51" ht="84" customHeight="1">
      <x:c r="A51" s="8" t="str">
        <x:v>ED-0001</x:v>
      </x:c>
      <x:c r="B51" s="8" t="str">
        <x:v>Diamantino</x:v>
      </x:c>
      <x:c r="C51" s="8" t="str">
        <x:v>Rosário Oeste</x:v>
      </x:c>
      <x:c r="D51" s="8" t="n">
        <x:v>48</x:v>
      </x:c>
      <x:c r="E51" s="8" t="str">
        <x:v>SALSA</x:v>
      </x:c>
      <x:c r="F51" s="8" t="str">
        <x:v>SALSA, com talos e folhas</x:v>
      </x:c>
      <x:c r="G51" s="8" t="str">
        <x:v>Quilograma</x:v>
      </x:c>
      <x:c r="H51" s="11" t="n">
        <x:v>362</x:v>
      </x:c>
      <x:c r="I51" s="11" t="n">
        <x:v>26.28</x:v>
      </x:c>
      <x:c r="J51" s="11" t="n">
        <x:v>9513.36</x:v>
      </x:c>
      <x:c r="K51" s="11" t="n">
        <x:v>21</x:v>
      </x:c>
      <x:c r="L51" s="11" t="str">
        <x:v>Extração parcial do início da descrição; conferir unidade/descrição completa no PDF.</x:v>
      </x:c>
      <x:c r="M51" s="11" t="str">
        <x:v>DOC-0001</x:v>
      </x:c>
      <x:c r="N51" s="11" t="n">
        <x:f>H51*I51</x:f>
        <x:v>9513.36</x:v>
      </x:c>
      <x:c r="O51" s="11" t="n">
        <x:f>ROUND(N51-J51,2)</x:f>
        <x:v>0</x:v>
      </x:c>
    </x:row>
    <x:row r="52" ht="84" customHeight="1">
      <x:c r="A52" s="8" t="str">
        <x:v>ED-0001</x:v>
      </x:c>
      <x:c r="B52" s="8" t="str">
        <x:v>Diamantino</x:v>
      </x:c>
      <x:c r="C52" s="8" t="str">
        <x:v>Rosário Oeste</x:v>
      </x:c>
      <x:c r="D52" s="8" t="n">
        <x:v>49</x:v>
      </x:c>
      <x:c r="E52" s="8" t="str">
        <x:v>TOMATE SALADA</x:v>
      </x:c>
      <x:c r="F52" s="8" t="str">
        <x:v>TOMATE SALADA, inteiros,</x:v>
      </x:c>
      <x:c r="G52" s="8" t="str">
        <x:v>Quilograma</x:v>
      </x:c>
      <x:c r="H52" s="11" t="n">
        <x:v>1101</x:v>
      </x:c>
      <x:c r="I52" s="11" t="n">
        <x:v>13.63</x:v>
      </x:c>
      <x:c r="J52" s="11" t="n">
        <x:v>15006.63</x:v>
      </x:c>
      <x:c r="K52" s="11" t="n">
        <x:v>21</x:v>
      </x:c>
      <x:c r="L52" s="11" t="str">
        <x:v>Extração parcial do início da descrição; conferir unidade/descrição completa no PDF.</x:v>
      </x:c>
      <x:c r="M52" s="11" t="str">
        <x:v>DOC-0001</x:v>
      </x:c>
      <x:c r="N52" s="11" t="n">
        <x:f>H52*I52</x:f>
        <x:v>15006.630000000001</x:v>
      </x:c>
      <x:c r="O52" s="11" t="n">
        <x:f>ROUND(N52-J52,2)</x:f>
        <x:v>0</x:v>
      </x:c>
    </x:row>
    <x:row r="53" ht="84" customHeight="1">
      <x:c r="A53" s="8" t="str">
        <x:v>ED-0001</x:v>
      </x:c>
      <x:c r="B53" s="8" t="str">
        <x:v>Diamantino</x:v>
      </x:c>
      <x:c r="C53" s="8" t="str">
        <x:v>Rosário Oeste</x:v>
      </x:c>
      <x:c r="D53" s="8" t="n">
        <x:v>50</x:v>
      </x:c>
      <x:c r="E53" s="8" t="str">
        <x:v>VAGEM</x:v>
      </x:c>
      <x:c r="F53" s="8" t="str">
        <x:v>VAGEM, inteira, livre de</x:v>
      </x:c>
      <x:c r="G53" s="8" t="str">
        <x:v>Quilograma</x:v>
      </x:c>
      <x:c r="H53" s="11" t="n">
        <x:v>311</x:v>
      </x:c>
      <x:c r="I53" s="11" t="n">
        <x:v>21.23</x:v>
      </x:c>
      <x:c r="J53" s="11" t="n">
        <x:v>6602.53</x:v>
      </x:c>
      <x:c r="K53" s="11" t="n">
        <x:v>22</x:v>
      </x:c>
      <x:c r="L53" s="11" t="str">
        <x:v>Extração parcial do início da descrição; conferir unidade/descrição completa no PDF.</x:v>
      </x:c>
      <x:c r="M53" s="11" t="str">
        <x:v>DOC-0001</x:v>
      </x:c>
      <x:c r="N53" s="11" t="n">
        <x:f>H53*I53</x:f>
        <x:v>6602.53</x:v>
      </x:c>
      <x:c r="O53" s="11" t="n">
        <x:f>ROUND(N53-J53,2)</x:f>
        <x:v>0</x:v>
      </x:c>
    </x:row>
    <x:row r="54" ht="84" customHeight="1">
      <x:c r="A54" s="8" t="str">
        <x:v>ED-0002</x:v>
      </x:c>
      <x:c r="B54" s="8" t="str">
        <x:v>Diamantino</x:v>
      </x:c>
      <x:c r="C54" s="8" t="str">
        <x:v>Nobres</x:v>
      </x:c>
      <x:c r="D54" s="8" t="n">
        <x:v>1</x:v>
      </x:c>
      <x:c r="E54" s="8" t="str">
        <x:v>ABACATE</x:v>
      </x:c>
      <x:c r="F54" s="8" t="str">
        <x:v>ABACATE, inteiro, livre de</x:v>
      </x:c>
      <x:c r="G54" s="8" t="str">
        <x:v>Quilograma</x:v>
      </x:c>
      <x:c r="H54" s="11" t="n">
        <x:v>30</x:v>
      </x:c>
      <x:c r="I54" s="11" t="n">
        <x:v>19.38</x:v>
      </x:c>
      <x:c r="J54" s="11" t="n">
        <x:v>581.4</x:v>
      </x:c>
      <x:c r="K54" s="11" t="n">
        <x:v>3</x:v>
      </x:c>
      <x:c r="L54" s="11" t="str">
        <x:v>Extração parcial do início da descrição; conferir unidade/descrição completa no PDF.</x:v>
      </x:c>
      <x:c r="M54" s="11" t="str">
        <x:v>DOC-0002</x:v>
      </x:c>
      <x:c r="N54" s="11" t="n">
        <x:f>H54*I54</x:f>
        <x:v>581.4</x:v>
      </x:c>
      <x:c r="O54" s="11" t="n">
        <x:f>ROUND(N54-J54,2)</x:f>
        <x:v>0</x:v>
      </x:c>
    </x:row>
    <x:row r="55" ht="84" customHeight="1">
      <x:c r="A55" s="8" t="str">
        <x:v>ED-0002</x:v>
      </x:c>
      <x:c r="B55" s="8" t="str">
        <x:v>Diamantino</x:v>
      </x:c>
      <x:c r="C55" s="8" t="str">
        <x:v>Nobres</x:v>
      </x:c>
      <x:c r="D55" s="8" t="n">
        <x:v>2</x:v>
      </x:c>
      <x:c r="E55" s="8" t="str">
        <x:v>ABACAXI PÉROLA</x:v>
      </x:c>
      <x:c r="F55" s="8" t="str">
        <x:v>ABACAXI PÉROLA, inteiro,</x:v>
      </x:c>
      <x:c r="G55" s="8" t="str">
        <x:v>Quilograma</x:v>
      </x:c>
      <x:c r="H55" s="11" t="n">
        <x:v>1067</x:v>
      </x:c>
      <x:c r="I55" s="11" t="n">
        <x:v>9.58</x:v>
      </x:c>
      <x:c r="J55" s="11" t="n">
        <x:v>10221.86</x:v>
      </x:c>
      <x:c r="K55" s="11" t="n">
        <x:v>3</x:v>
      </x:c>
      <x:c r="L55" s="11" t="str">
        <x:v>Extração parcial do início da descrição; conferir unidade/descrição completa no PDF.</x:v>
      </x:c>
      <x:c r="M55" s="11" t="str">
        <x:v>DOC-0002</x:v>
      </x:c>
      <x:c r="N55" s="11" t="n">
        <x:f>H55*I55</x:f>
        <x:v>10221.86</x:v>
      </x:c>
      <x:c r="O55" s="11" t="n">
        <x:f>ROUND(N55-J55,2)</x:f>
        <x:v>0</x:v>
      </x:c>
    </x:row>
    <x:row r="56" ht="84" customHeight="1">
      <x:c r="A56" s="8" t="str">
        <x:v>ED-0002</x:v>
      </x:c>
      <x:c r="B56" s="8" t="str">
        <x:v>Diamantino</x:v>
      </x:c>
      <x:c r="C56" s="8" t="str">
        <x:v>Nobres</x:v>
      </x:c>
      <x:c r="D56" s="8" t="n">
        <x:v>3</x:v>
      </x:c>
      <x:c r="E56" s="8" t="str">
        <x:v>ABÓBORA              CABOTIÃ</x:v>
      </x:c>
      <x:c r="F56" s="8" t="str">
        <x:v>ABÓBORA              CABOTIÃ,</x:v>
      </x:c>
      <x:c r="G56" s="8" t="str">
        <x:v>Quilograma</x:v>
      </x:c>
      <x:c r="H56" s="11" t="n">
        <x:v>597</x:v>
      </x:c>
      <x:c r="I56" s="11" t="n">
        <x:v>5.4</x:v>
      </x:c>
      <x:c r="J56" s="11" t="n">
        <x:v>3223.8</x:v>
      </x:c>
      <x:c r="K56" s="11" t="n">
        <x:v>3</x:v>
      </x:c>
      <x:c r="L56" s="11" t="str">
        <x:v>Extração parcial do início da descrição; conferir unidade/descrição completa no PDF.</x:v>
      </x:c>
      <x:c r="M56" s="11" t="str">
        <x:v>DOC-0002</x:v>
      </x:c>
      <x:c r="N56" s="11" t="n">
        <x:f>H56*I56</x:f>
        <x:v>3223.8</x:v>
      </x:c>
      <x:c r="O56" s="11" t="n">
        <x:f>ROUND(N56-J56,2)</x:f>
        <x:v>0</x:v>
      </x:c>
    </x:row>
    <x:row r="57" ht="84" customHeight="1">
      <x:c r="A57" s="8" t="str">
        <x:v>ED-0002</x:v>
      </x:c>
      <x:c r="B57" s="8" t="str">
        <x:v>Diamantino</x:v>
      </x:c>
      <x:c r="C57" s="8" t="str">
        <x:v>Nobres</x:v>
      </x:c>
      <x:c r="D57" s="8" t="n">
        <x:v>4</x:v>
      </x:c>
      <x:c r="E57" s="8" t="str">
        <x:v>AÇAFRÃO</x:v>
      </x:c>
      <x:c r="F57" s="8" t="str">
        <x:v>AÇAFRÃO, torrado, em pó</x:v>
      </x:c>
      <x:c r="G57" s="8" t="str">
        <x:v>Unidade de</x:v>
      </x:c>
      <x:c r="H57" s="11" t="n">
        <x:v>459</x:v>
      </x:c>
      <x:c r="I57" s="11" t="n">
        <x:v>4.36</x:v>
      </x:c>
      <x:c r="J57" s="11" t="n">
        <x:v>2001.24</x:v>
      </x:c>
      <x:c r="K57" s="11" t="n">
        <x:v>4</x:v>
      </x:c>
      <x:c r="L57" s="11" t="str">
        <x:v>Extração parcial do início da descrição; conferir unidade/descrição completa no PDF.</x:v>
      </x:c>
      <x:c r="M57" s="11" t="str">
        <x:v>DOC-0002</x:v>
      </x:c>
      <x:c r="N57" s="11" t="n">
        <x:f>H57*I57</x:f>
        <x:v>2001.2400000000002</x:v>
      </x:c>
      <x:c r="O57" s="11" t="n">
        <x:f>ROUND(N57-J57,2)</x:f>
        <x:v>0</x:v>
      </x:c>
    </x:row>
    <x:row r="58" ht="84" customHeight="1">
      <x:c r="A58" s="8" t="str">
        <x:v>ED-0002</x:v>
      </x:c>
      <x:c r="B58" s="8" t="str">
        <x:v>Diamantino</x:v>
      </x:c>
      <x:c r="C58" s="8" t="str">
        <x:v>Nobres</x:v>
      </x:c>
      <x:c r="D58" s="8" t="n">
        <x:v>5</x:v>
      </x:c>
      <x:c r="E58" s="8" t="str">
        <x:v>ACELGA</x:v>
      </x:c>
      <x:c r="F58" s="8" t="str">
        <x:v>ACELGA, com folhas inteiras,</x:v>
      </x:c>
      <x:c r="G58" s="8" t="str">
        <x:v>Quilograma</x:v>
      </x:c>
      <x:c r="H58" s="11" t="n">
        <x:v>393</x:v>
      </x:c>
      <x:c r="I58" s="11" t="n">
        <x:v>11.82</x:v>
      </x:c>
      <x:c r="J58" s="11" t="n">
        <x:v>4645.26</x:v>
      </x:c>
      <x:c r="K58" s="11" t="n">
        <x:v>4</x:v>
      </x:c>
      <x:c r="L58" s="11" t="str">
        <x:v>Extração parcial do início da descrição; conferir unidade/descrição completa no PDF.</x:v>
      </x:c>
      <x:c r="M58" s="11" t="str">
        <x:v>DOC-0002</x:v>
      </x:c>
      <x:c r="N58" s="11" t="n">
        <x:f>H58*I58</x:f>
        <x:v>4645.26</x:v>
      </x:c>
      <x:c r="O58" s="11" t="n">
        <x:f>ROUND(N58-J58,2)</x:f>
        <x:v>0</x:v>
      </x:c>
    </x:row>
    <x:row r="59" ht="84" customHeight="1">
      <x:c r="A59" s="8" t="str">
        <x:v>ED-0002</x:v>
      </x:c>
      <x:c r="B59" s="8" t="str">
        <x:v>Diamantino</x:v>
      </x:c>
      <x:c r="C59" s="8" t="str">
        <x:v>Nobres</x:v>
      </x:c>
      <x:c r="D59" s="8" t="n">
        <x:v>6</x:v>
      </x:c>
      <x:c r="E59" s="8" t="str">
        <x:v>AGRIÃO</x:v>
      </x:c>
      <x:c r="F59" s="8" t="str">
        <x:v>AGRIÃO, com folhas inteiras,</x:v>
      </x:c>
      <x:c r="G59" s="8" t="str">
        <x:v>Quilograma</x:v>
      </x:c>
      <x:c r="H59" s="11" t="n">
        <x:v>265</x:v>
      </x:c>
      <x:c r="I59" s="11" t="n">
        <x:v>31.23</x:v>
      </x:c>
      <x:c r="J59" s="11" t="n">
        <x:v>8275.95</x:v>
      </x:c>
      <x:c r="K59" s="11" t="n">
        <x:v>5</x:v>
      </x:c>
      <x:c r="L59" s="11" t="str">
        <x:v>Extração parcial do início da descrição; conferir unidade/descrição completa no PDF.</x:v>
      </x:c>
      <x:c r="M59" s="11" t="str">
        <x:v>DOC-0002</x:v>
      </x:c>
      <x:c r="N59" s="11" t="n">
        <x:f>H59*I59</x:f>
        <x:v>8275.95</x:v>
      </x:c>
      <x:c r="O59" s="11" t="n">
        <x:f>ROUND(N59-J59,2)</x:f>
        <x:v>0</x:v>
      </x:c>
    </x:row>
    <x:row r="60" ht="84" customHeight="1">
      <x:c r="A60" s="8" t="str">
        <x:v>ED-0002</x:v>
      </x:c>
      <x:c r="B60" s="8" t="str">
        <x:v>Diamantino</x:v>
      </x:c>
      <x:c r="C60" s="8" t="str">
        <x:v>Nobres</x:v>
      </x:c>
      <x:c r="D60" s="8" t="n">
        <x:v>7</x:v>
      </x:c>
      <x:c r="E60" s="8" t="str">
        <x:v>ALFACE CRESPA</x:v>
      </x:c>
      <x:c r="F60" s="8" t="str">
        <x:v>ALFACE CRESPA, com</x:v>
      </x:c>
      <x:c r="G60" s="8" t="str">
        <x:v>Quilograma</x:v>
      </x:c>
      <x:c r="H60" s="11" t="n">
        <x:v>1760</x:v>
      </x:c>
      <x:c r="I60" s="11" t="n">
        <x:v>23.54</x:v>
      </x:c>
      <x:c r="J60" s="11" t="n">
        <x:v>41430.4</x:v>
      </x:c>
      <x:c r="K60" s="11" t="n">
        <x:v>5</x:v>
      </x:c>
      <x:c r="L60" s="11" t="str">
        <x:v>Extração parcial do início da descrição; conferir unidade/descrição completa no PDF.</x:v>
      </x:c>
      <x:c r="M60" s="11" t="str">
        <x:v>DOC-0002</x:v>
      </x:c>
      <x:c r="N60" s="11" t="n">
        <x:f>H60*I60</x:f>
        <x:v>41430.4</x:v>
      </x:c>
      <x:c r="O60" s="11" t="n">
        <x:f>ROUND(N60-J60,2)</x:f>
        <x:v>0</x:v>
      </x:c>
    </x:row>
    <x:row r="61" ht="84" customHeight="1">
      <x:c r="A61" s="8" t="str">
        <x:v>ED-0002</x:v>
      </x:c>
      <x:c r="B61" s="8" t="str">
        <x:v>Diamantino</x:v>
      </x:c>
      <x:c r="C61" s="8" t="str">
        <x:v>Nobres</x:v>
      </x:c>
      <x:c r="D61" s="8" t="n">
        <x:v>8</x:v>
      </x:c>
      <x:c r="E61" s="8" t="str">
        <x:v>ALMEIRÃO</x:v>
      </x:c>
      <x:c r="F61" s="8" t="str">
        <x:v>ALMEIRÃO, com folhas</x:v>
      </x:c>
      <x:c r="G61" s="8" t="str">
        <x:v>Quilograma</x:v>
      </x:c>
      <x:c r="H61" s="11" t="n">
        <x:v>309</x:v>
      </x:c>
      <x:c r="I61" s="11" t="n">
        <x:v>23.68</x:v>
      </x:c>
      <x:c r="J61" s="11" t="n">
        <x:v>7317.12</x:v>
      </x:c>
      <x:c r="K61" s="11" t="n">
        <x:v>5</x:v>
      </x:c>
      <x:c r="L61" s="11" t="str">
        <x:v>Extração parcial do início da descrição; conferir unidade/descrição completa no PDF.</x:v>
      </x:c>
      <x:c r="M61" s="11" t="str">
        <x:v>DOC-0002</x:v>
      </x:c>
      <x:c r="N61" s="11" t="n">
        <x:f>H61*I61</x:f>
        <x:v>7317.12</x:v>
      </x:c>
      <x:c r="O61" s="11" t="n">
        <x:f>ROUND(N61-J61,2)</x:f>
        <x:v>0</x:v>
      </x:c>
    </x:row>
    <x:row r="62" ht="84" customHeight="1">
      <x:c r="A62" s="8" t="str">
        <x:v>ED-0002</x:v>
      </x:c>
      <x:c r="B62" s="8" t="str">
        <x:v>Diamantino</x:v>
      </x:c>
      <x:c r="C62" s="8" t="str">
        <x:v>Nobres</x:v>
      </x:c>
      <x:c r="D62" s="8" t="n">
        <x:v>9</x:v>
      </x:c>
      <x:c r="E62" s="8" t="str">
        <x:v>BANANA          DA      TERRA</x:v>
      </x:c>
      <x:c r="F62" s="8" t="str">
        <x:v>BANANA          DA      TERRA,</x:v>
      </x:c>
      <x:c r="G62" s="8" t="str">
        <x:v>Quilograma</x:v>
      </x:c>
      <x:c r="H62" s="11" t="n">
        <x:v>560</x:v>
      </x:c>
      <x:c r="I62" s="11" t="n">
        <x:v>12.83</x:v>
      </x:c>
      <x:c r="J62" s="11" t="n">
        <x:v>7184.8</x:v>
      </x:c>
      <x:c r="K62" s="11" t="n">
        <x:v>6</x:v>
      </x:c>
      <x:c r="L62" s="11" t="str">
        <x:v>Extração parcial do início da descrição; conferir unidade/descrição completa no PDF.</x:v>
      </x:c>
      <x:c r="M62" s="11" t="str">
        <x:v>DOC-0002</x:v>
      </x:c>
      <x:c r="N62" s="11" t="n">
        <x:f>H62*I62</x:f>
        <x:v>7184.8</x:v>
      </x:c>
      <x:c r="O62" s="11" t="n">
        <x:f>ROUND(N62-J62,2)</x:f>
        <x:v>0</x:v>
      </x:c>
    </x:row>
    <x:row r="63" ht="84" customHeight="1">
      <x:c r="A63" s="8" t="str">
        <x:v>ED-0002</x:v>
      </x:c>
      <x:c r="B63" s="8" t="str">
        <x:v>Diamantino</x:v>
      </x:c>
      <x:c r="C63" s="8" t="str">
        <x:v>Nobres</x:v>
      </x:c>
      <x:c r="D63" s="8" t="n">
        <x:v>10</x:v>
      </x:c>
      <x:c r="E63" s="8" t="str">
        <x:v>BANANA NANICA</x:v>
      </x:c>
      <x:c r="F63" s="8" t="str">
        <x:v>BANANA NANICA, inteira,</x:v>
      </x:c>
      <x:c r="G63" s="8" t="str">
        <x:v>Quilograma</x:v>
      </x:c>
      <x:c r="H63" s="11" t="n">
        <x:v>784</x:v>
      </x:c>
      <x:c r="I63" s="11" t="n">
        <x:v>10.51</x:v>
      </x:c>
      <x:c r="J63" s="11" t="n">
        <x:v>8239.84</x:v>
      </x:c>
      <x:c r="K63" s="11" t="n">
        <x:v>6</x:v>
      </x:c>
      <x:c r="L63" s="11" t="str">
        <x:v>Extração parcial do início da descrição; conferir unidade/descrição completa no PDF.</x:v>
      </x:c>
      <x:c r="M63" s="11" t="str">
        <x:v>DOC-0002</x:v>
      </x:c>
      <x:c r="N63" s="11" t="n">
        <x:f>H63*I63</x:f>
        <x:v>8239.84</x:v>
      </x:c>
      <x:c r="O63" s="11" t="n">
        <x:f>ROUND(N63-J63,2)</x:f>
        <x:v>0</x:v>
      </x:c>
    </x:row>
    <x:row r="64" ht="84" customHeight="1">
      <x:c r="A64" s="8" t="str">
        <x:v>ED-0002</x:v>
      </x:c>
      <x:c r="B64" s="8" t="str">
        <x:v>Diamantino</x:v>
      </x:c>
      <x:c r="C64" s="8" t="str">
        <x:v>Nobres</x:v>
      </x:c>
      <x:c r="D64" s="8" t="n">
        <x:v>11</x:v>
      </x:c>
      <x:c r="E64" s="8" t="str">
        <x:v>BATATA DOCE</x:v>
      </x:c>
      <x:c r="F64" s="8" t="str">
        <x:v>BATATA DOCE, inteira, livre</x:v>
      </x:c>
      <x:c r="G64" s="8" t="str">
        <x:v>Quilograma</x:v>
      </x:c>
      <x:c r="H64" s="11" t="n">
        <x:v>433</x:v>
      </x:c>
      <x:c r="I64" s="11" t="n">
        <x:v>6.26</x:v>
      </x:c>
      <x:c r="J64" s="11" t="n">
        <x:v>2710.58</x:v>
      </x:c>
      <x:c r="K64" s="11" t="n">
        <x:v>7</x:v>
      </x:c>
      <x:c r="L64" s="11" t="str">
        <x:v>Extração parcial do início da descrição; conferir unidade/descrição completa no PDF.</x:v>
      </x:c>
      <x:c r="M64" s="11" t="str">
        <x:v>DOC-0002</x:v>
      </x:c>
      <x:c r="N64" s="11" t="n">
        <x:f>H64*I64</x:f>
        <x:v>2710.58</x:v>
      </x:c>
      <x:c r="O64" s="11" t="n">
        <x:f>ROUND(N64-J64,2)</x:f>
        <x:v>0</x:v>
      </x:c>
    </x:row>
    <x:row r="65" ht="84" customHeight="1">
      <x:c r="A65" s="8" t="str">
        <x:v>ED-0002</x:v>
      </x:c>
      <x:c r="B65" s="8" t="str">
        <x:v>Diamantino</x:v>
      </x:c>
      <x:c r="C65" s="8" t="str">
        <x:v>Nobres</x:v>
      </x:c>
      <x:c r="D65" s="8" t="n">
        <x:v>12</x:v>
      </x:c>
      <x:c r="E65" s="8" t="str">
        <x:v>BEBIDA                 LÁCTEA</x:v>
      </x:c>
      <x:c r="F65" s="8" t="str">
        <x:v>BEBIDA                 LÁCTEA</x:v>
      </x:c>
      <x:c r="G65" s="8" t="str">
        <x:v>Unidade de</x:v>
      </x:c>
      <x:c r="H65" s="11" t="n">
        <x:v>851</x:v>
      </x:c>
      <x:c r="I65" s="11" t="n">
        <x:v>10</x:v>
      </x:c>
      <x:c r="J65" s="11" t="n">
        <x:v>8510</x:v>
      </x:c>
      <x:c r="K65" s="11" t="n">
        <x:v>7</x:v>
      </x:c>
      <x:c r="L65" s="11" t="str">
        <x:v>Extração parcial do início da descrição; conferir unidade/descrição completa no PDF.</x:v>
      </x:c>
      <x:c r="M65" s="11" t="str">
        <x:v>DOC-0002</x:v>
      </x:c>
      <x:c r="N65" s="11" t="n">
        <x:f>H65*I65</x:f>
        <x:v>8510</x:v>
      </x:c>
      <x:c r="O65" s="11" t="n">
        <x:f>ROUND(N65-J65,2)</x:f>
        <x:v>0</x:v>
      </x:c>
    </x:row>
    <x:row r="66" ht="84" customHeight="1">
      <x:c r="A66" s="8" t="str">
        <x:v>ED-0002</x:v>
      </x:c>
      <x:c r="B66" s="8" t="str">
        <x:v>Diamantino</x:v>
      </x:c>
      <x:c r="C66" s="8" t="str">
        <x:v>Nobres</x:v>
      </x:c>
      <x:c r="D66" s="8" t="n">
        <x:v>13</x:v>
      </x:c>
      <x:c r="E66" s="8" t="str">
        <x:v>BEBIDA             LÁCTEA</x:v>
      </x:c>
      <x:c r="F66" s="8" t="str">
        <x:v>BEBIDA             LÁCTEA</x:v>
      </x:c>
      <x:c r="G66" s="8" t="str">
        <x:v>Unidade de</x:v>
      </x:c>
      <x:c r="H66" s="11" t="n">
        <x:v>851</x:v>
      </x:c>
      <x:c r="I66" s="11" t="n">
        <x:v>10</x:v>
      </x:c>
      <x:c r="J66" s="11" t="n">
        <x:v>8510</x:v>
      </x:c>
      <x:c r="K66" s="11" t="n">
        <x:v>7</x:v>
      </x:c>
      <x:c r="L66" s="11" t="str">
        <x:v>Extração parcial do início da descrição; conferir unidade/descrição completa no PDF.</x:v>
      </x:c>
      <x:c r="M66" s="11" t="str">
        <x:v>DOC-0002</x:v>
      </x:c>
      <x:c r="N66" s="11" t="n">
        <x:f>H66*I66</x:f>
        <x:v>8510</x:v>
      </x:c>
      <x:c r="O66" s="11" t="n">
        <x:f>ROUND(N66-J66,2)</x:f>
        <x:v>0</x:v>
      </x:c>
    </x:row>
    <x:row r="67" ht="84" customHeight="1">
      <x:c r="A67" s="8" t="str">
        <x:v>ED-0002</x:v>
      </x:c>
      <x:c r="B67" s="8" t="str">
        <x:v>Diamantino</x:v>
      </x:c>
      <x:c r="C67" s="8" t="str">
        <x:v>Nobres</x:v>
      </x:c>
      <x:c r="D67" s="8" t="n">
        <x:v>14</x:v>
      </x:c>
      <x:c r="E67" s="8" t="str">
        <x:v>BETERRABA</x:v>
      </x:c>
      <x:c r="F67" s="8" t="str">
        <x:v>BETERRABA, inteira, livre de</x:v>
      </x:c>
      <x:c r="G67" s="8" t="str">
        <x:v>Quilograma</x:v>
      </x:c>
      <x:c r="H67" s="11" t="n">
        <x:v>265</x:v>
      </x:c>
      <x:c r="I67" s="11" t="n">
        <x:v>6.19</x:v>
      </x:c>
      <x:c r="J67" s="11" t="n">
        <x:v>1640.35</x:v>
      </x:c>
      <x:c r="K67" s="11" t="n">
        <x:v>8</x:v>
      </x:c>
      <x:c r="L67" s="11" t="str">
        <x:v>Extração parcial do início da descrição; conferir unidade/descrição completa no PDF.</x:v>
      </x:c>
      <x:c r="M67" s="11" t="str">
        <x:v>DOC-0002</x:v>
      </x:c>
      <x:c r="N67" s="11" t="n">
        <x:f>H67*I67</x:f>
        <x:v>1640.3500000000001</x:v>
      </x:c>
      <x:c r="O67" s="11" t="n">
        <x:f>ROUND(N67-J67,2)</x:f>
        <x:v>0</x:v>
      </x:c>
    </x:row>
    <x:row r="68" ht="84" customHeight="1">
      <x:c r="A68" s="8" t="str">
        <x:v>ED-0002</x:v>
      </x:c>
      <x:c r="B68" s="8" t="str">
        <x:v>Diamantino</x:v>
      </x:c>
      <x:c r="C68" s="8" t="str">
        <x:v>Nobres</x:v>
      </x:c>
      <x:c r="D68" s="8" t="n">
        <x:v>15</x:v>
      </x:c>
      <x:c r="E68" s="8" t="str">
        <x:v>BOLO DE CHOCOLATE</x:v>
      </x:c>
      <x:c r="F68" s="8" t="str">
        <x:v>BOLO DE CHOCOLATE,</x:v>
      </x:c>
      <x:c r="G68" s="8" t="str">
        <x:v>Quilograma</x:v>
      </x:c>
      <x:c r="H68" s="11" t="n">
        <x:v>1623</x:v>
      </x:c>
      <x:c r="I68" s="11" t="n">
        <x:v>41.05</x:v>
      </x:c>
      <x:c r="J68" s="11" t="n">
        <x:v>66624.15</x:v>
      </x:c>
      <x:c r="K68" s="11" t="n">
        <x:v>9</x:v>
      </x:c>
      <x:c r="L68" s="11" t="str">
        <x:v>Extração parcial do início da descrição; conferir unidade/descrição completa no PDF.</x:v>
      </x:c>
      <x:c r="M68" s="11" t="str">
        <x:v>DOC-0002</x:v>
      </x:c>
      <x:c r="N68" s="11" t="n">
        <x:f>H68*I68</x:f>
        <x:v>66624.15</x:v>
      </x:c>
      <x:c r="O68" s="11" t="n">
        <x:f>ROUND(N68-J68,2)</x:f>
        <x:v>0</x:v>
      </x:c>
    </x:row>
    <x:row r="69" ht="84" customHeight="1">
      <x:c r="A69" s="8" t="str">
        <x:v>ED-0002</x:v>
      </x:c>
      <x:c r="B69" s="8" t="str">
        <x:v>Diamantino</x:v>
      </x:c>
      <x:c r="C69" s="8" t="str">
        <x:v>Nobres</x:v>
      </x:c>
      <x:c r="D69" s="8" t="n">
        <x:v>16</x:v>
      </x:c>
      <x:c r="E69" s="8" t="str">
        <x:v>BOLO DE COCO</x:v>
      </x:c>
      <x:c r="F69" s="8" t="str">
        <x:v>BOLO DE COCO, caseiro,</x:v>
      </x:c>
      <x:c r="G69" s="8" t="str">
        <x:v>Quilograma</x:v>
      </x:c>
      <x:c r="H69" s="11" t="n">
        <x:v>1624</x:v>
      </x:c>
      <x:c r="I69" s="11" t="n">
        <x:v>32.5</x:v>
      </x:c>
      <x:c r="J69" s="11" t="n">
        <x:v>52780</x:v>
      </x:c>
      <x:c r="K69" s="11" t="n">
        <x:v>9</x:v>
      </x:c>
      <x:c r="L69" s="11" t="str">
        <x:v>Extração parcial do início da descrição; conferir unidade/descrição completa no PDF.</x:v>
      </x:c>
      <x:c r="M69" s="11" t="str">
        <x:v>DOC-0002</x:v>
      </x:c>
      <x:c r="N69" s="11" t="n">
        <x:f>H69*I69</x:f>
        <x:v>52780</x:v>
      </x:c>
      <x:c r="O69" s="11" t="n">
        <x:f>ROUND(N69-J69,2)</x:f>
        <x:v>0</x:v>
      </x:c>
    </x:row>
    <x:row r="70" ht="84" customHeight="1">
      <x:c r="A70" s="8" t="str">
        <x:v>ED-0002</x:v>
      </x:c>
      <x:c r="B70" s="8" t="str">
        <x:v>Diamantino</x:v>
      </x:c>
      <x:c r="C70" s="8" t="str">
        <x:v>Nobres</x:v>
      </x:c>
      <x:c r="D70" s="8" t="n">
        <x:v>17</x:v>
      </x:c>
      <x:c r="E70" s="8" t="str">
        <x:v>BOLO SIMPLES</x:v>
      </x:c>
      <x:c r="F70" s="8" t="str">
        <x:v>BOLO SIMPLES, caseiro,</x:v>
      </x:c>
      <x:c r="G70" s="8" t="str">
        <x:v>Quilograma</x:v>
      </x:c>
      <x:c r="H70" s="11" t="n">
        <x:v>1624</x:v>
      </x:c>
      <x:c r="I70" s="11" t="n">
        <x:v>32.5</x:v>
      </x:c>
      <x:c r="J70" s="11" t="n">
        <x:v>52780</x:v>
      </x:c>
      <x:c r="K70" s="11" t="n">
        <x:v>9</x:v>
      </x:c>
      <x:c r="L70" s="11" t="str">
        <x:v>Extração parcial do início da descrição; conferir unidade/descrição completa no PDF.</x:v>
      </x:c>
      <x:c r="M70" s="11" t="str">
        <x:v>DOC-0002</x:v>
      </x:c>
      <x:c r="N70" s="11" t="n">
        <x:f>H70*I70</x:f>
        <x:v>52780</x:v>
      </x:c>
      <x:c r="O70" s="11" t="n">
        <x:f>ROUND(N70-J70,2)</x:f>
        <x:v>0</x:v>
      </x:c>
    </x:row>
    <x:row r="71" ht="84" customHeight="1">
      <x:c r="A71" s="8" t="str">
        <x:v>ED-0002</x:v>
      </x:c>
      <x:c r="B71" s="8" t="str">
        <x:v>Diamantino</x:v>
      </x:c>
      <x:c r="C71" s="8" t="str">
        <x:v>Nobres</x:v>
      </x:c>
      <x:c r="D71" s="8" t="n">
        <x:v>18</x:v>
      </x:c>
      <x:c r="E71" s="8" t="str">
        <x:v>CAFÉ         TORRADO           E</x:v>
      </x:c>
      <x:c r="F71" s="8" t="str">
        <x:v>CAFÉ         TORRADO           E</x:v>
      </x:c>
      <x:c r="G71" s="8" t="str">
        <x:v>Unidade de</x:v>
      </x:c>
      <x:c r="H71" s="11" t="n">
        <x:v>1021</x:v>
      </x:c>
      <x:c r="I71" s="11" t="n">
        <x:v>21.9</x:v>
      </x:c>
      <x:c r="J71" s="11" t="n">
        <x:v>22359.9</x:v>
      </x:c>
      <x:c r="K71" s="11" t="n">
        <x:v>10</x:v>
      </x:c>
      <x:c r="L71" s="11" t="str">
        <x:v>Extração parcial do início da descrição; conferir unidade/descrição completa no PDF.</x:v>
      </x:c>
      <x:c r="M71" s="11" t="str">
        <x:v>DOC-0002</x:v>
      </x:c>
      <x:c r="N71" s="11" t="n">
        <x:f>H71*I71</x:f>
        <x:v>22359.899999999998</x:v>
      </x:c>
      <x:c r="O71" s="11" t="n">
        <x:f>ROUND(N71-J71,2)</x:f>
        <x:v>0</x:v>
      </x:c>
    </x:row>
    <x:row r="72" ht="84" customHeight="1">
      <x:c r="A72" s="8" t="str">
        <x:v>ED-0002</x:v>
      </x:c>
      <x:c r="B72" s="8" t="str">
        <x:v>Diamantino</x:v>
      </x:c>
      <x:c r="C72" s="8" t="str">
        <x:v>Nobres</x:v>
      </x:c>
      <x:c r="D72" s="8" t="n">
        <x:v>19</x:v>
      </x:c>
      <x:c r="E72" s="8" t="str">
        <x:v>CEBOLINHA</x:v>
      </x:c>
      <x:c r="F72" s="8" t="str">
        <x:v>CEBOLINHA, verde, com</x:v>
      </x:c>
      <x:c r="G72" s="8" t="str">
        <x:v>Quilograma</x:v>
      </x:c>
      <x:c r="H72" s="11" t="n">
        <x:v>505</x:v>
      </x:c>
      <x:c r="I72" s="11" t="n">
        <x:v>24.1</x:v>
      </x:c>
      <x:c r="J72" s="11" t="n">
        <x:v>12170.5</x:v>
      </x:c>
      <x:c r="K72" s="11" t="n">
        <x:v>10</x:v>
      </x:c>
      <x:c r="L72" s="11" t="str">
        <x:v>Extração parcial do início da descrição; conferir unidade/descrição completa no PDF.</x:v>
      </x:c>
      <x:c r="M72" s="11" t="str">
        <x:v>DOC-0002</x:v>
      </x:c>
      <x:c r="N72" s="11" t="n">
        <x:f>H72*I72</x:f>
        <x:v>12170.5</x:v>
      </x:c>
      <x:c r="O72" s="11" t="n">
        <x:f>ROUND(N72-J72,2)</x:f>
        <x:v>0</x:v>
      </x:c>
    </x:row>
    <x:row r="73" ht="84" customHeight="1">
      <x:c r="A73" s="8" t="str">
        <x:v>ED-0002</x:v>
      </x:c>
      <x:c r="B73" s="8" t="str">
        <x:v>Diamantino</x:v>
      </x:c>
      <x:c r="C73" s="8" t="str">
        <x:v>Nobres</x:v>
      </x:c>
      <x:c r="D73" s="8" t="n">
        <x:v>20</x:v>
      </x:c>
      <x:c r="E73" s="8" t="str">
        <x:v>CENOURA</x:v>
      </x:c>
      <x:c r="F73" s="8" t="str">
        <x:v>CENOURA, inteira, livre de</x:v>
      </x:c>
      <x:c r="G73" s="8" t="str">
        <x:v>Quilograma</x:v>
      </x:c>
      <x:c r="H73" s="11" t="n">
        <x:v>1288</x:v>
      </x:c>
      <x:c r="I73" s="11" t="n">
        <x:v>6.63</x:v>
      </x:c>
      <x:c r="J73" s="11" t="n">
        <x:v>8539.44</x:v>
      </x:c>
      <x:c r="K73" s="11" t="n">
        <x:v>11</x:v>
      </x:c>
      <x:c r="L73" s="11" t="str">
        <x:v>Extração parcial do início da descrição; conferir unidade/descrição completa no PDF.</x:v>
      </x:c>
      <x:c r="M73" s="11" t="str">
        <x:v>DOC-0002</x:v>
      </x:c>
      <x:c r="N73" s="11" t="n">
        <x:f>H73*I73</x:f>
        <x:v>8539.44</x:v>
      </x:c>
      <x:c r="O73" s="11" t="n">
        <x:f>ROUND(N73-J73,2)</x:f>
        <x:v>0</x:v>
      </x:c>
    </x:row>
    <x:row r="74" ht="84" customHeight="1">
      <x:c r="A74" s="8" t="str">
        <x:v>ED-0002</x:v>
      </x:c>
      <x:c r="B74" s="8" t="str">
        <x:v>Diamantino</x:v>
      </x:c>
      <x:c r="C74" s="8" t="str">
        <x:v>Nobres</x:v>
      </x:c>
      <x:c r="D74" s="8" t="n">
        <x:v>21</x:v>
      </x:c>
      <x:c r="E74" s="8" t="str">
        <x:v>COENTRO</x:v>
      </x:c>
      <x:c r="F74" s="8" t="str">
        <x:v>COENTRO, com talos e folhas</x:v>
      </x:c>
      <x:c r="G74" s="8" t="str">
        <x:v>Quilograma</x:v>
      </x:c>
      <x:c r="H74" s="11" t="n">
        <x:v>50</x:v>
      </x:c>
      <x:c r="I74" s="11" t="n">
        <x:v>30.31</x:v>
      </x:c>
      <x:c r="J74" s="11" t="n">
        <x:v>1515.5</x:v>
      </x:c>
      <x:c r="K74" s="11" t="n">
        <x:v>11</x:v>
      </x:c>
      <x:c r="L74" s="11" t="str">
        <x:v>Extração parcial do início da descrição; conferir unidade/descrição completa no PDF.</x:v>
      </x:c>
      <x:c r="M74" s="11" t="str">
        <x:v>DOC-0002</x:v>
      </x:c>
      <x:c r="N74" s="11" t="n">
        <x:f>H74*I74</x:f>
        <x:v>1515.5</x:v>
      </x:c>
      <x:c r="O74" s="11" t="n">
        <x:f>ROUND(N74-J74,2)</x:f>
        <x:v>0</x:v>
      </x:c>
    </x:row>
    <x:row r="75" ht="84" customHeight="1">
      <x:c r="A75" s="8" t="str">
        <x:v>ED-0002</x:v>
      </x:c>
      <x:c r="B75" s="8" t="str">
        <x:v>Diamantino</x:v>
      </x:c>
      <x:c r="C75" s="8" t="str">
        <x:v>Nobres</x:v>
      </x:c>
      <x:c r="D75" s="8" t="n">
        <x:v>22</x:v>
      </x:c>
      <x:c r="E75" s="8" t="str">
        <x:v>COLORAU</x:v>
      </x:c>
      <x:c r="F75" s="8" t="str">
        <x:v>COLORAU, corante, natural</x:v>
      </x:c>
      <x:c r="G75" s="8" t="str">
        <x:v>Unidade de</x:v>
      </x:c>
      <x:c r="H75" s="11" t="n">
        <x:v>3715</x:v>
      </x:c>
      <x:c r="I75" s="11" t="n">
        <x:v>5.29</x:v>
      </x:c>
      <x:c r="J75" s="11" t="n">
        <x:v>19652.35</x:v>
      </x:c>
      <x:c r="K75" s="11" t="n">
        <x:v>11</x:v>
      </x:c>
      <x:c r="L75" s="11" t="str">
        <x:v>Extração parcial do início da descrição; conferir unidade/descrição completa no PDF.</x:v>
      </x:c>
      <x:c r="M75" s="11" t="str">
        <x:v>DOC-0002</x:v>
      </x:c>
      <x:c r="N75" s="11" t="n">
        <x:f>H75*I75</x:f>
        <x:v>19652.35</x:v>
      </x:c>
      <x:c r="O75" s="11" t="n">
        <x:f>ROUND(N75-J75,2)</x:f>
        <x:v>0</x:v>
      </x:c>
    </x:row>
    <x:row r="76" ht="84" customHeight="1">
      <x:c r="A76" s="8" t="str">
        <x:v>ED-0002</x:v>
      </x:c>
      <x:c r="B76" s="8" t="str">
        <x:v>Diamantino</x:v>
      </x:c>
      <x:c r="C76" s="8" t="str">
        <x:v>Nobres</x:v>
      </x:c>
      <x:c r="D76" s="8" t="n">
        <x:v>23</x:v>
      </x:c>
      <x:c r="E76" s="8" t="str">
        <x:v>COUVE</x:v>
      </x:c>
      <x:c r="F76" s="8" t="str">
        <x:v>COUVE, manteiga com folhas</x:v>
      </x:c>
      <x:c r="G76" s="8" t="str">
        <x:v>Quilograma</x:v>
      </x:c>
      <x:c r="H76" s="11" t="n">
        <x:v>1630</x:v>
      </x:c>
      <x:c r="I76" s="11" t="n">
        <x:v>22.48</x:v>
      </x:c>
      <x:c r="J76" s="11" t="n">
        <x:v>36642.4</x:v>
      </x:c>
      <x:c r="K76" s="11" t="n">
        <x:v>12</x:v>
      </x:c>
      <x:c r="L76" s="11" t="str">
        <x:v>Extração parcial do início da descrição; conferir unidade/descrição completa no PDF.</x:v>
      </x:c>
      <x:c r="M76" s="11" t="str">
        <x:v>DOC-0002</x:v>
      </x:c>
      <x:c r="N76" s="11" t="n">
        <x:f>H76*I76</x:f>
        <x:v>36642.4</x:v>
      </x:c>
      <x:c r="O76" s="11" t="n">
        <x:f>ROUND(N76-J76,2)</x:f>
        <x:v>0</x:v>
      </x:c>
    </x:row>
    <x:row r="77" ht="84" customHeight="1">
      <x:c r="A77" s="8" t="str">
        <x:v>ED-0002</x:v>
      </x:c>
      <x:c r="B77" s="8" t="str">
        <x:v>Diamantino</x:v>
      </x:c>
      <x:c r="C77" s="8" t="str">
        <x:v>Nobres</x:v>
      </x:c>
      <x:c r="D77" s="8" t="n">
        <x:v>24</x:v>
      </x:c>
      <x:c r="E77" s="8" t="str">
        <x:v>FARINHA DE MANDIOCA</x:v>
      </x:c>
      <x:c r="F77" s="8" t="str">
        <x:v>FARINHA DE MANDIOCA,</x:v>
      </x:c>
      <x:c r="G77" s="8" t="str">
        <x:v>Unidade de</x:v>
      </x:c>
      <x:c r="H77" s="11" t="n">
        <x:v>752</x:v>
      </x:c>
      <x:c r="I77" s="11" t="n">
        <x:v>9.22</x:v>
      </x:c>
      <x:c r="J77" s="11" t="n">
        <x:v>6933.44</x:v>
      </x:c>
      <x:c r="K77" s="11" t="n">
        <x:v>12</x:v>
      </x:c>
      <x:c r="L77" s="11" t="str">
        <x:v>Extração parcial do início da descrição; conferir unidade/descrição completa no PDF.</x:v>
      </x:c>
      <x:c r="M77" s="11" t="str">
        <x:v>DOC-0002</x:v>
      </x:c>
      <x:c r="N77" s="11" t="n">
        <x:f>H77*I77</x:f>
        <x:v>6933.4400000000005</x:v>
      </x:c>
      <x:c r="O77" s="11" t="n">
        <x:f>ROUND(N77-J77,2)</x:f>
        <x:v>0</x:v>
      </x:c>
    </x:row>
    <x:row r="78" ht="84" customHeight="1">
      <x:c r="A78" s="8" t="str">
        <x:v>ED-0002</x:v>
      </x:c>
      <x:c r="B78" s="8" t="str">
        <x:v>Diamantino</x:v>
      </x:c>
      <x:c r="C78" s="8" t="str">
        <x:v>Nobres</x:v>
      </x:c>
      <x:c r="D78" s="8" t="n">
        <x:v>25</x:v>
      </x:c>
      <x:c r="E78" s="8" t="str">
        <x:v>INHAME</x:v>
      </x:c>
      <x:c r="F78" s="8" t="str">
        <x:v>INHAME, in natura, tamanho e</x:v>
      </x:c>
      <x:c r="G78" s="8" t="str">
        <x:v>Quilograma</x:v>
      </x:c>
      <x:c r="H78" s="11" t="n">
        <x:v>322</x:v>
      </x:c>
      <x:c r="I78" s="11" t="n">
        <x:v>18.09</x:v>
      </x:c>
      <x:c r="J78" s="11" t="n">
        <x:v>5824.98</x:v>
      </x:c>
      <x:c r="K78" s="11" t="n">
        <x:v>12</x:v>
      </x:c>
      <x:c r="L78" s="11" t="str">
        <x:v>Extração parcial do início da descrição; conferir unidade/descrição completa no PDF.</x:v>
      </x:c>
      <x:c r="M78" s="11" t="str">
        <x:v>DOC-0002</x:v>
      </x:c>
      <x:c r="N78" s="11" t="n">
        <x:f>H78*I78</x:f>
        <x:v>5824.98</x:v>
      </x:c>
      <x:c r="O78" s="11" t="n">
        <x:f>ROUND(N78-J78,2)</x:f>
        <x:v>0</x:v>
      </x:c>
    </x:row>
    <x:row r="79" ht="84" customHeight="1">
      <x:c r="A79" s="8" t="str">
        <x:v>ED-0002</x:v>
      </x:c>
      <x:c r="B79" s="8" t="str">
        <x:v>Diamantino</x:v>
      </x:c>
      <x:c r="C79" s="8" t="str">
        <x:v>Nobres</x:v>
      </x:c>
      <x:c r="D79" s="8" t="n">
        <x:v>26</x:v>
      </x:c>
      <x:c r="E79" s="8" t="str">
        <x:v>LARANJA PÊRA</x:v>
      </x:c>
      <x:c r="F79" s="8" t="str">
        <x:v>LARANJA PÊRA, inteira,</x:v>
      </x:c>
      <x:c r="G79" s="8" t="str">
        <x:v>Quilograma</x:v>
      </x:c>
      <x:c r="H79" s="11" t="n">
        <x:v>2113</x:v>
      </x:c>
      <x:c r="I79" s="11" t="n">
        <x:v>7.97</x:v>
      </x:c>
      <x:c r="J79" s="11" t="n">
        <x:v>16840.61</x:v>
      </x:c>
      <x:c r="K79" s="11" t="n">
        <x:v>13</x:v>
      </x:c>
      <x:c r="L79" s="11" t="str">
        <x:v>Extração parcial do início da descrição; conferir unidade/descrição completa no PDF.</x:v>
      </x:c>
      <x:c r="M79" s="11" t="str">
        <x:v>DOC-0002</x:v>
      </x:c>
      <x:c r="N79" s="11" t="n">
        <x:f>H79*I79</x:f>
        <x:v>16840.61</x:v>
      </x:c>
      <x:c r="O79" s="11" t="n">
        <x:f>ROUND(N79-J79,2)</x:f>
        <x:v>0</x:v>
      </x:c>
    </x:row>
    <x:row r="80" ht="84" customHeight="1">
      <x:c r="A80" s="8" t="str">
        <x:v>ED-0002</x:v>
      </x:c>
      <x:c r="B80" s="8" t="str">
        <x:v>Diamantino</x:v>
      </x:c>
      <x:c r="C80" s="8" t="str">
        <x:v>Nobres</x:v>
      </x:c>
      <x:c r="D80" s="8" t="n">
        <x:v>27</x:v>
      </x:c>
      <x:c r="E80" s="8" t="str">
        <x:v>LEITE        PASTEURIZADO</x:v>
      </x:c>
      <x:c r="F80" s="8" t="str">
        <x:v>LEITE        PASTEURIZADO</x:v>
      </x:c>
      <x:c r="G80" s="8" t="str">
        <x:v>Unidade de</x:v>
      </x:c>
      <x:c r="H80" s="11" t="n">
        <x:v>13053</x:v>
      </x:c>
      <x:c r="I80" s="11" t="n">
        <x:v>8</x:v>
      </x:c>
      <x:c r="J80" s="11" t="n">
        <x:v>104424</x:v>
      </x:c>
      <x:c r="K80" s="11" t="n">
        <x:v>13</x:v>
      </x:c>
      <x:c r="L80" s="11" t="str">
        <x:v>Extração parcial do início da descrição; conferir unidade/descrição completa no PDF.</x:v>
      </x:c>
      <x:c r="M80" s="11" t="str">
        <x:v>DOC-0002</x:v>
      </x:c>
      <x:c r="N80" s="11" t="n">
        <x:f>H80*I80</x:f>
        <x:v>104424</x:v>
      </x:c>
      <x:c r="O80" s="11" t="n">
        <x:f>ROUND(N80-J80,2)</x:f>
        <x:v>0</x:v>
      </x:c>
    </x:row>
    <x:row r="81" ht="84" customHeight="1">
      <x:c r="A81" s="8" t="str">
        <x:v>ED-0002</x:v>
      </x:c>
      <x:c r="B81" s="8" t="str">
        <x:v>Diamantino</x:v>
      </x:c>
      <x:c r="C81" s="8" t="str">
        <x:v>Nobres</x:v>
      </x:c>
      <x:c r="D81" s="8" t="n">
        <x:v>28</x:v>
      </x:c>
      <x:c r="E81" s="8" t="str">
        <x:v>LIMÃO TAHITI</x:v>
      </x:c>
      <x:c r="F81" s="8" t="str">
        <x:v>LIMÃO TAHITI, inteiro, livre</x:v>
      </x:c>
      <x:c r="G81" s="8" t="str">
        <x:v>Quilograma</x:v>
      </x:c>
      <x:c r="H81" s="11" t="n">
        <x:v>309</x:v>
      </x:c>
      <x:c r="I81" s="11" t="n">
        <x:v>9.17</x:v>
      </x:c>
      <x:c r="J81" s="11" t="n">
        <x:v>2833.53</x:v>
      </x:c>
      <x:c r="K81" s="11" t="n">
        <x:v>14</x:v>
      </x:c>
      <x:c r="L81" s="11" t="str">
        <x:v>Extração parcial do início da descrição; conferir unidade/descrição completa no PDF.</x:v>
      </x:c>
      <x:c r="M81" s="11" t="str">
        <x:v>DOC-0002</x:v>
      </x:c>
      <x:c r="N81" s="11" t="n">
        <x:f>H81*I81</x:f>
        <x:v>2833.53</x:v>
      </x:c>
      <x:c r="O81" s="11" t="n">
        <x:f>ROUND(N81-J81,2)</x:f>
        <x:v>0</x:v>
      </x:c>
    </x:row>
    <x:row r="82" ht="84" customHeight="1">
      <x:c r="A82" s="8" t="str">
        <x:v>ED-0002</x:v>
      </x:c>
      <x:c r="B82" s="8" t="str">
        <x:v>Diamantino</x:v>
      </x:c>
      <x:c r="C82" s="8" t="str">
        <x:v>Nobres</x:v>
      </x:c>
      <x:c r="D82" s="8" t="n">
        <x:v>29</x:v>
      </x:c>
      <x:c r="E82" s="8" t="str">
        <x:v>MAMÃO FORMOSA</x:v>
      </x:c>
      <x:c r="F82" s="8" t="str">
        <x:v>MAMÃO FORMOSA, livre</x:v>
      </x:c>
      <x:c r="G82" s="8" t="str">
        <x:v>Quilograma</x:v>
      </x:c>
      <x:c r="H82" s="11" t="n">
        <x:v>523</x:v>
      </x:c>
      <x:c r="I82" s="11" t="n">
        <x:v>8.49</x:v>
      </x:c>
      <x:c r="J82" s="11" t="n">
        <x:v>4440.27</x:v>
      </x:c>
      <x:c r="K82" s="11" t="n">
        <x:v>14</x:v>
      </x:c>
      <x:c r="L82" s="11" t="str">
        <x:v>Extração parcial do início da descrição; conferir unidade/descrição completa no PDF.</x:v>
      </x:c>
      <x:c r="M82" s="11" t="str">
        <x:v>DOC-0002</x:v>
      </x:c>
      <x:c r="N82" s="11" t="n">
        <x:f>H82*I82</x:f>
        <x:v>4440.27</x:v>
      </x:c>
      <x:c r="O82" s="11" t="n">
        <x:f>ROUND(N82-J82,2)</x:f>
        <x:v>0</x:v>
      </x:c>
    </x:row>
    <x:row r="83" ht="84" customHeight="1">
      <x:c r="A83" s="8" t="str">
        <x:v>ED-0002</x:v>
      </x:c>
      <x:c r="B83" s="8" t="str">
        <x:v>Diamantino</x:v>
      </x:c>
      <x:c r="C83" s="8" t="str">
        <x:v>Nobres</x:v>
      </x:c>
      <x:c r="D83" s="8" t="n">
        <x:v>30</x:v>
      </x:c>
      <x:c r="E83" s="8" t="str">
        <x:v>MANDIOCA</x:v>
      </x:c>
      <x:c r="F83" s="8" t="str">
        <x:v>MANDIOCA</x:v>
      </x:c>
      <x:c r="G83" s="8" t="str">
        <x:v>Unidade de</x:v>
      </x:c>
      <x:c r="H83" s="11" t="n">
        <x:v>947</x:v>
      </x:c>
      <x:c r="I83" s="11" t="n">
        <x:v>10.06</x:v>
      </x:c>
      <x:c r="J83" s="11" t="n">
        <x:v>9526.82</x:v>
      </x:c>
      <x:c r="K83" s="11" t="n">
        <x:v>15</x:v>
      </x:c>
      <x:c r="L83" s="11" t="str">
        <x:v>Extração parcial do início da descrição; conferir unidade/descrição completa no PDF.</x:v>
      </x:c>
      <x:c r="M83" s="11" t="str">
        <x:v>DOC-0002</x:v>
      </x:c>
      <x:c r="N83" s="11" t="n">
        <x:f>H83*I83</x:f>
        <x:v>9526.82</x:v>
      </x:c>
      <x:c r="O83" s="11" t="n">
        <x:f>ROUND(N83-J83,2)</x:f>
        <x:v>0</x:v>
      </x:c>
    </x:row>
    <x:row r="84" ht="84" customHeight="1">
      <x:c r="A84" s="8" t="str">
        <x:v>ED-0002</x:v>
      </x:c>
      <x:c r="B84" s="8" t="str">
        <x:v>Diamantino</x:v>
      </x:c>
      <x:c r="C84" s="8" t="str">
        <x:v>Nobres</x:v>
      </x:c>
      <x:c r="D84" s="8" t="n">
        <x:v>31</x:v>
      </x:c>
      <x:c r="E84" s="8" t="str">
        <x:v>MANTEIGA PURA COM</x:v>
      </x:c>
      <x:c r="F84" s="8" t="str">
        <x:v>MANTEIGA PURA COM</x:v>
      </x:c>
      <x:c r="G84" s="8" t="str">
        <x:v>Unidade de</x:v>
      </x:c>
      <x:c r="H84" s="11" t="n">
        <x:v>1395</x:v>
      </x:c>
      <x:c r="I84" s="11" t="n">
        <x:v>45.21</x:v>
      </x:c>
      <x:c r="J84" s="11" t="n">
        <x:v>63067.95</x:v>
      </x:c>
      <x:c r="K84" s="11" t="n">
        <x:v>15</x:v>
      </x:c>
      <x:c r="L84" s="11" t="str">
        <x:v>Extração parcial do início da descrição; conferir unidade/descrição completa no PDF.</x:v>
      </x:c>
      <x:c r="M84" s="11" t="str">
        <x:v>DOC-0002</x:v>
      </x:c>
      <x:c r="N84" s="11" t="n">
        <x:f>H84*I84</x:f>
        <x:v>63067.950000000004</x:v>
      </x:c>
      <x:c r="O84" s="11" t="n">
        <x:f>ROUND(N84-J84,2)</x:f>
        <x:v>0</x:v>
      </x:c>
    </x:row>
    <x:row r="85" ht="84" customHeight="1">
      <x:c r="A85" s="8" t="str">
        <x:v>ED-0002</x:v>
      </x:c>
      <x:c r="B85" s="8" t="str">
        <x:v>Diamantino</x:v>
      </x:c>
      <x:c r="C85" s="8" t="str">
        <x:v>Nobres</x:v>
      </x:c>
      <x:c r="D85" s="8" t="n">
        <x:v>32</x:v>
      </x:c>
      <x:c r="E85" s="8" t="str">
        <x:v>MELANCIA</x:v>
      </x:c>
      <x:c r="F85" s="8" t="str">
        <x:v>MELANCIA, inteira, livre de</x:v>
      </x:c>
      <x:c r="G85" s="8" t="str">
        <x:v>Quilograma</x:v>
      </x:c>
      <x:c r="H85" s="11" t="n">
        <x:v>1354</x:v>
      </x:c>
      <x:c r="I85" s="11" t="n">
        <x:v>4.03</x:v>
      </x:c>
      <x:c r="J85" s="11" t="n">
        <x:v>5456.62</x:v>
      </x:c>
      <x:c r="K85" s="11" t="n">
        <x:v>16</x:v>
      </x:c>
      <x:c r="L85" s="11" t="str">
        <x:v>Extração parcial do início da descrição; conferir unidade/descrição completa no PDF.</x:v>
      </x:c>
      <x:c r="M85" s="11" t="str">
        <x:v>DOC-0002</x:v>
      </x:c>
      <x:c r="N85" s="11" t="n">
        <x:f>H85*I85</x:f>
        <x:v>5456.62</x:v>
      </x:c>
      <x:c r="O85" s="11" t="n">
        <x:f>ROUND(N85-J85,2)</x:f>
        <x:v>0</x:v>
      </x:c>
    </x:row>
    <x:row r="86" ht="84" customHeight="1">
      <x:c r="A86" s="8" t="str">
        <x:v>ED-0002</x:v>
      </x:c>
      <x:c r="B86" s="8" t="str">
        <x:v>Diamantino</x:v>
      </x:c>
      <x:c r="C86" s="8" t="str">
        <x:v>Nobres</x:v>
      </x:c>
      <x:c r="D86" s="8" t="n">
        <x:v>33</x:v>
      </x:c>
      <x:c r="E86" s="8" t="str">
        <x:v>MELÃO</x:v>
      </x:c>
      <x:c r="F86" s="8" t="str">
        <x:v>MELÃO, inteiro, livre de</x:v>
      </x:c>
      <x:c r="G86" s="8" t="str">
        <x:v>Quilograma</x:v>
      </x:c>
      <x:c r="H86" s="11" t="n">
        <x:v>1091</x:v>
      </x:c>
      <x:c r="I86" s="11" t="n">
        <x:v>7.53</x:v>
      </x:c>
      <x:c r="J86" s="11" t="n">
        <x:v>8215.23</x:v>
      </x:c>
      <x:c r="K86" s="11" t="n">
        <x:v>16</x:v>
      </x:c>
      <x:c r="L86" s="11" t="str">
        <x:v>Extração parcial do início da descrição; conferir unidade/descrição completa no PDF.</x:v>
      </x:c>
      <x:c r="M86" s="11" t="str">
        <x:v>DOC-0002</x:v>
      </x:c>
      <x:c r="N86" s="11" t="n">
        <x:f>H86*I86</x:f>
        <x:v>8215.23</x:v>
      </x:c>
      <x:c r="O86" s="11" t="n">
        <x:f>ROUND(N86-J86,2)</x:f>
        <x:v>0</x:v>
      </x:c>
    </x:row>
    <x:row r="87" ht="84" customHeight="1">
      <x:c r="A87" s="8" t="str">
        <x:v>ED-0002</x:v>
      </x:c>
      <x:c r="B87" s="8" t="str">
        <x:v>Diamantino</x:v>
      </x:c>
      <x:c r="C87" s="8" t="str">
        <x:v>Nobres</x:v>
      </x:c>
      <x:c r="D87" s="8" t="n">
        <x:v>34</x:v>
      </x:c>
      <x:c r="E87" s="8" t="str">
        <x:v>PÃO CASEIRO</x:v>
      </x:c>
      <x:c r="F87" s="8" t="str">
        <x:v>PÃO CASEIRO, de boa</x:v>
      </x:c>
      <x:c r="G87" s="8" t="str">
        <x:v>Quilograma</x:v>
      </x:c>
      <x:c r="H87" s="11" t="n">
        <x:v>2459</x:v>
      </x:c>
      <x:c r="I87" s="11" t="n">
        <x:v>24</x:v>
      </x:c>
      <x:c r="J87" s="11" t="n">
        <x:v>59016</x:v>
      </x:c>
      <x:c r="K87" s="11" t="n">
        <x:v>16</x:v>
      </x:c>
      <x:c r="L87" s="11" t="str">
        <x:v>Extração parcial do início da descrição; conferir unidade/descrição completa no PDF.</x:v>
      </x:c>
      <x:c r="M87" s="11" t="str">
        <x:v>DOC-0002</x:v>
      </x:c>
      <x:c r="N87" s="11" t="n">
        <x:f>H87*I87</x:f>
        <x:v>59016</x:v>
      </x:c>
      <x:c r="O87" s="11" t="n">
        <x:f>ROUND(N87-J87,2)</x:f>
        <x:v>0</x:v>
      </x:c>
    </x:row>
    <x:row r="88" ht="84" customHeight="1">
      <x:c r="A88" s="8" t="str">
        <x:v>ED-0002</x:v>
      </x:c>
      <x:c r="B88" s="8" t="str">
        <x:v>Diamantino</x:v>
      </x:c>
      <x:c r="C88" s="8" t="str">
        <x:v>Nobres</x:v>
      </x:c>
      <x:c r="D88" s="8" t="n">
        <x:v>35</x:v>
      </x:c>
      <x:c r="E88" s="8" t="str">
        <x:v>PEIXE PINTADO FILÉ</x:v>
      </x:c>
      <x:c r="F88" s="8" t="str">
        <x:v>PEIXE PINTADO FILÉ, de</x:v>
      </x:c>
      <x:c r="G88" s="8" t="str">
        <x:v>Unidade de</x:v>
      </x:c>
      <x:c r="H88" s="11" t="n">
        <x:v>565</x:v>
      </x:c>
      <x:c r="I88" s="11" t="n">
        <x:v>72.91</x:v>
      </x:c>
      <x:c r="J88" s="11" t="n">
        <x:v>41194.15</x:v>
      </x:c>
      <x:c r="K88" s="11" t="n">
        <x:v>17</x:v>
      </x:c>
      <x:c r="L88" s="11" t="str">
        <x:v>Extração parcial do início da descrição; conferir unidade/descrição completa no PDF.</x:v>
      </x:c>
      <x:c r="M88" s="11" t="str">
        <x:v>DOC-0002</x:v>
      </x:c>
      <x:c r="N88" s="11" t="n">
        <x:f>H88*I88</x:f>
        <x:v>41194.15</x:v>
      </x:c>
      <x:c r="O88" s="11" t="n">
        <x:f>ROUND(N88-J88,2)</x:f>
        <x:v>0</x:v>
      </x:c>
    </x:row>
    <x:row r="89" ht="84" customHeight="1">
      <x:c r="A89" s="8" t="str">
        <x:v>ED-0002</x:v>
      </x:c>
      <x:c r="B89" s="8" t="str">
        <x:v>Diamantino</x:v>
      </x:c>
      <x:c r="C89" s="8" t="str">
        <x:v>Nobres</x:v>
      </x:c>
      <x:c r="D89" s="8" t="n">
        <x:v>36</x:v>
      </x:c>
      <x:c r="E89" s="8" t="str">
        <x:v>PEIXE TILÁPIA FILÉ</x:v>
      </x:c>
      <x:c r="F89" s="8" t="str">
        <x:v>PEIXE TILÁPIA FILÉ, peixe</x:v>
      </x:c>
      <x:c r="G89" s="8" t="str">
        <x:v>Unidade de</x:v>
      </x:c>
      <x:c r="H89" s="11" t="n">
        <x:v>564</x:v>
      </x:c>
      <x:c r="I89" s="11" t="n">
        <x:v>53.5</x:v>
      </x:c>
      <x:c r="J89" s="11" t="n">
        <x:v>30174</x:v>
      </x:c>
      <x:c r="K89" s="11" t="n">
        <x:v>17</x:v>
      </x:c>
      <x:c r="L89" s="11" t="str">
        <x:v>Extração parcial do início da descrição; conferir unidade/descrição completa no PDF.</x:v>
      </x:c>
      <x:c r="M89" s="11" t="str">
        <x:v>DOC-0002</x:v>
      </x:c>
      <x:c r="N89" s="11" t="n">
        <x:f>H89*I89</x:f>
        <x:v>30174</x:v>
      </x:c>
      <x:c r="O89" s="11" t="n">
        <x:f>ROUND(N89-J89,2)</x:f>
        <x:v>0</x:v>
      </x:c>
    </x:row>
    <x:row r="90" ht="84" customHeight="1">
      <x:c r="A90" s="8" t="str">
        <x:v>ED-0002</x:v>
      </x:c>
      <x:c r="B90" s="8" t="str">
        <x:v>Diamantino</x:v>
      </x:c>
      <x:c r="C90" s="8" t="str">
        <x:v>Nobres</x:v>
      </x:c>
      <x:c r="D90" s="8" t="n">
        <x:v>38</x:v>
      </x:c>
      <x:c r="E90" s="8" t="str">
        <x:v>PIMENTA DE CHEIRO</x:v>
      </x:c>
      <x:c r="F90" s="8" t="str">
        <x:v>PIMENTA DE CHEIRO,</x:v>
      </x:c>
      <x:c r="G90" s="8" t="str">
        <x:v>Quilograma</x:v>
      </x:c>
      <x:c r="H90" s="11" t="n">
        <x:v>104</x:v>
      </x:c>
      <x:c r="I90" s="11" t="n">
        <x:v>26.92</x:v>
      </x:c>
      <x:c r="J90" s="11" t="n">
        <x:v>2799.68</x:v>
      </x:c>
      <x:c r="K90" s="11" t="n">
        <x:v>18</x:v>
      </x:c>
      <x:c r="L90" s="11" t="str">
        <x:v>Extração parcial do início da descrição; conferir unidade/descrição completa no PDF.</x:v>
      </x:c>
      <x:c r="M90" s="11" t="str">
        <x:v>DOC-0002</x:v>
      </x:c>
      <x:c r="N90" s="11" t="n">
        <x:f>H90*I90</x:f>
        <x:v>2799.6800000000003</x:v>
      </x:c>
      <x:c r="O90" s="11" t="n">
        <x:f>ROUND(N90-J90,2)</x:f>
        <x:v>0</x:v>
      </x:c>
    </x:row>
    <x:row r="91" ht="84" customHeight="1">
      <x:c r="A91" s="8" t="str">
        <x:v>ED-0002</x:v>
      </x:c>
      <x:c r="B91" s="8" t="str">
        <x:v>Diamantino</x:v>
      </x:c>
      <x:c r="C91" s="8" t="str">
        <x:v>Nobres</x:v>
      </x:c>
      <x:c r="D91" s="8" t="n">
        <x:v>39</x:v>
      </x:c>
      <x:c r="E91" s="8" t="str">
        <x:v>PIMENTÃO VERDE</x:v>
      </x:c>
      <x:c r="F91" s="8" t="str">
        <x:v>PIMENTÃO VERDE, inteiro,</x:v>
      </x:c>
      <x:c r="G91" s="8" t="str">
        <x:v>Quilograma</x:v>
      </x:c>
      <x:c r="H91" s="11" t="n">
        <x:v>83</x:v>
      </x:c>
      <x:c r="I91" s="11" t="n">
        <x:v>12.6</x:v>
      </x:c>
      <x:c r="J91" s="11" t="n">
        <x:v>1045.8</x:v>
      </x:c>
      <x:c r="K91" s="11" t="n">
        <x:v>19</x:v>
      </x:c>
      <x:c r="L91" s="11" t="str">
        <x:v>Extração parcial do início da descrição; conferir unidade/descrição completa no PDF.</x:v>
      </x:c>
      <x:c r="M91" s="11" t="str">
        <x:v>DOC-0002</x:v>
      </x:c>
      <x:c r="N91" s="11" t="n">
        <x:f>H91*I91</x:f>
        <x:v>1045.8</x:v>
      </x:c>
      <x:c r="O91" s="11" t="n">
        <x:f>ROUND(N91-J91,2)</x:f>
        <x:v>0</x:v>
      </x:c>
    </x:row>
    <x:row r="92" ht="84" customHeight="1">
      <x:c r="A92" s="8" t="str">
        <x:v>ED-0002</x:v>
      </x:c>
      <x:c r="B92" s="8" t="str">
        <x:v>Diamantino</x:v>
      </x:c>
      <x:c r="C92" s="8" t="str">
        <x:v>Nobres</x:v>
      </x:c>
      <x:c r="D92" s="8" t="n">
        <x:v>40</x:v>
      </x:c>
      <x:c r="E92" s="8" t="str">
        <x:v>POLPA DE ABACAXI</x:v>
      </x:c>
      <x:c r="F92" s="8" t="str">
        <x:v>POLPA DE ABACAXI, SEM</x:v>
      </x:c>
      <x:c r="G92" s="8" t="str">
        <x:v>Unidade de</x:v>
      </x:c>
      <x:c r="H92" s="11" t="n">
        <x:v>804</x:v>
      </x:c>
      <x:c r="I92" s="11" t="n">
        <x:v>35.27</x:v>
      </x:c>
      <x:c r="J92" s="11" t="n">
        <x:v>28357.08</x:v>
      </x:c>
      <x:c r="K92" s="11" t="n">
        <x:v>19</x:v>
      </x:c>
      <x:c r="L92" s="11" t="str">
        <x:v>Extração parcial do início da descrição; conferir unidade/descrição completa no PDF.</x:v>
      </x:c>
      <x:c r="M92" s="11" t="str">
        <x:v>DOC-0002</x:v>
      </x:c>
      <x:c r="N92" s="11" t="n">
        <x:f>H92*I92</x:f>
        <x:v>28357.08</x:v>
      </x:c>
      <x:c r="O92" s="11" t="n">
        <x:f>ROUND(N92-J92,2)</x:f>
        <x:v>0</x:v>
      </x:c>
    </x:row>
    <x:row r="93" ht="84" customHeight="1">
      <x:c r="A93" s="8" t="str">
        <x:v>ED-0002</x:v>
      </x:c>
      <x:c r="B93" s="8" t="str">
        <x:v>Diamantino</x:v>
      </x:c>
      <x:c r="C93" s="8" t="str">
        <x:v>Nobres</x:v>
      </x:c>
      <x:c r="D93" s="8" t="n">
        <x:v>41</x:v>
      </x:c>
      <x:c r="E93" s="8" t="str">
        <x:v>POLPA DE ACEROLA</x:v>
      </x:c>
      <x:c r="F93" s="8" t="str">
        <x:v>POLPA DE ACEROLA, SEM</x:v>
      </x:c>
      <x:c r="G93" s="8" t="str">
        <x:v>Unidade de</x:v>
      </x:c>
      <x:c r="H93" s="11" t="n">
        <x:v>804</x:v>
      </x:c>
      <x:c r="I93" s="11" t="n">
        <x:v>35.91</x:v>
      </x:c>
      <x:c r="J93" s="11" t="n">
        <x:v>28871.64</x:v>
      </x:c>
      <x:c r="K93" s="11" t="n">
        <x:v>20</x:v>
      </x:c>
      <x:c r="L93" s="11" t="str">
        <x:v>Extração parcial do início da descrição; conferir unidade/descrição completa no PDF.</x:v>
      </x:c>
      <x:c r="M93" s="11" t="str">
        <x:v>DOC-0002</x:v>
      </x:c>
      <x:c r="N93" s="11" t="n">
        <x:f>H93*I93</x:f>
        <x:v>28871.639999999996</x:v>
      </x:c>
      <x:c r="O93" s="11" t="n">
        <x:f>ROUND(N93-J93,2)</x:f>
        <x:v>0</x:v>
      </x:c>
    </x:row>
    <x:row r="94" ht="84" customHeight="1">
      <x:c r="A94" s="8" t="str">
        <x:v>ED-0002</x:v>
      </x:c>
      <x:c r="B94" s="8" t="str">
        <x:v>Diamantino</x:v>
      </x:c>
      <x:c r="C94" s="8" t="str">
        <x:v>Nobres</x:v>
      </x:c>
      <x:c r="D94" s="8" t="n">
        <x:v>42</x:v>
      </x:c>
      <x:c r="E94" s="8" t="str">
        <x:v>POLPA DE CAJÚ</x:v>
      </x:c>
      <x:c r="F94" s="8" t="str">
        <x:v>POLPA DE CAJÚ, SEM</x:v>
      </x:c>
      <x:c r="G94" s="8" t="str">
        <x:v>Unidade de</x:v>
      </x:c>
      <x:c r="H94" s="11" t="n">
        <x:v>805</x:v>
      </x:c>
      <x:c r="I94" s="11" t="n">
        <x:v>35.62</x:v>
      </x:c>
      <x:c r="J94" s="11" t="n">
        <x:v>28674.1</x:v>
      </x:c>
      <x:c r="K94" s="11" t="n">
        <x:v>20</x:v>
      </x:c>
      <x:c r="L94" s="11" t="str">
        <x:v>Extração parcial do início da descrição; conferir unidade/descrição completa no PDF.</x:v>
      </x:c>
      <x:c r="M94" s="11" t="str">
        <x:v>DOC-0002</x:v>
      </x:c>
      <x:c r="N94" s="11" t="n">
        <x:f>H94*I94</x:f>
        <x:v>28674.1</x:v>
      </x:c>
      <x:c r="O94" s="11" t="n">
        <x:f>ROUND(N94-J94,2)</x:f>
        <x:v>0</x:v>
      </x:c>
    </x:row>
    <x:row r="95" ht="84" customHeight="1">
      <x:c r="A95" s="8" t="str">
        <x:v>ED-0002</x:v>
      </x:c>
      <x:c r="B95" s="8" t="str">
        <x:v>Diamantino</x:v>
      </x:c>
      <x:c r="C95" s="8" t="str">
        <x:v>Nobres</x:v>
      </x:c>
      <x:c r="D95" s="8" t="n">
        <x:v>43</x:v>
      </x:c>
      <x:c r="E95" s="8" t="str">
        <x:v>PONCÃ</x:v>
      </x:c>
      <x:c r="F95" s="8" t="str">
        <x:v>PONCÃ, inteiro, livre de</x:v>
      </x:c>
      <x:c r="G95" s="8" t="str">
        <x:v>Quilograma</x:v>
      </x:c>
      <x:c r="H95" s="11" t="n">
        <x:v>149</x:v>
      </x:c>
      <x:c r="I95" s="11" t="n">
        <x:v>11.04</x:v>
      </x:c>
      <x:c r="J95" s="11" t="n">
        <x:v>1644.96</x:v>
      </x:c>
      <x:c r="K95" s="11" t="n">
        <x:v>21</x:v>
      </x:c>
      <x:c r="L95" s="11" t="str">
        <x:v>Extração parcial do início da descrição; conferir unidade/descrição completa no PDF.</x:v>
      </x:c>
      <x:c r="M95" s="11" t="str">
        <x:v>DOC-0002</x:v>
      </x:c>
      <x:c r="N95" s="11" t="n">
        <x:f>H95*I95</x:f>
        <x:v>1644.9599999999998</x:v>
      </x:c>
      <x:c r="O95" s="11" t="n">
        <x:f>ROUND(N95-J95,2)</x:f>
        <x:v>0</x:v>
      </x:c>
    </x:row>
    <x:row r="96" ht="84" customHeight="1">
      <x:c r="A96" s="8" t="str">
        <x:v>ED-0002</x:v>
      </x:c>
      <x:c r="B96" s="8" t="str">
        <x:v>Diamantino</x:v>
      </x:c>
      <x:c r="C96" s="8" t="str">
        <x:v>Nobres</x:v>
      </x:c>
      <x:c r="D96" s="8" t="n">
        <x:v>44</x:v>
      </x:c>
      <x:c r="E96" s="8" t="str">
        <x:v>QUEIJO          MUSSARELA</x:v>
      </x:c>
      <x:c r="F96" s="8" t="str">
        <x:v>QUEIJO          MUSSARELA,</x:v>
      </x:c>
      <x:c r="G96" s="8" t="str">
        <x:v>Quilograma</x:v>
      </x:c>
      <x:c r="H96" s="11" t="n">
        <x:v>418</x:v>
      </x:c>
      <x:c r="I96" s="11" t="n">
        <x:v>60.95</x:v>
      </x:c>
      <x:c r="J96" s="11" t="n">
        <x:v>25477.1</x:v>
      </x:c>
      <x:c r="K96" s="11" t="n">
        <x:v>21</x:v>
      </x:c>
      <x:c r="L96" s="11" t="str">
        <x:v>Extração parcial do início da descrição; conferir unidade/descrição completa no PDF.</x:v>
      </x:c>
      <x:c r="M96" s="11" t="str">
        <x:v>DOC-0002</x:v>
      </x:c>
      <x:c r="N96" s="11" t="n">
        <x:f>H96*I96</x:f>
        <x:v>25477.100000000002</x:v>
      </x:c>
      <x:c r="O96" s="11" t="n">
        <x:f>ROUND(N96-J96,2)</x:f>
        <x:v>0</x:v>
      </x:c>
    </x:row>
    <x:row r="97" ht="84" customHeight="1">
      <x:c r="A97" s="8" t="str">
        <x:v>ED-0002</x:v>
      </x:c>
      <x:c r="B97" s="8" t="str">
        <x:v>Diamantino</x:v>
      </x:c>
      <x:c r="C97" s="8" t="str">
        <x:v>Nobres</x:v>
      </x:c>
      <x:c r="D97" s="8" t="n">
        <x:v>45</x:v>
      </x:c>
      <x:c r="E97" s="8" t="str">
        <x:v>REPOLHO</x:v>
      </x:c>
      <x:c r="F97" s="8" t="str">
        <x:v>REPOLHO</x:v>
      </x:c>
      <x:c r="G97" s="8" t="str">
        <x:v>Quilograma</x:v>
      </x:c>
      <x:c r="H97" s="11" t="n">
        <x:v>1190</x:v>
      </x:c>
      <x:c r="I97" s="11" t="n">
        <x:v>5.37</x:v>
      </x:c>
      <x:c r="J97" s="11" t="n">
        <x:v>6390.3</x:v>
      </x:c>
      <x:c r="K97" s="11" t="n">
        <x:v>22</x:v>
      </x:c>
      <x:c r="L97" s="11" t="str">
        <x:v>Extração parcial do início da descrição; conferir unidade/descrição completa no PDF.</x:v>
      </x:c>
      <x:c r="M97" s="11" t="str">
        <x:v>DOC-0002</x:v>
      </x:c>
      <x:c r="N97" s="11" t="n">
        <x:f>H97*I97</x:f>
        <x:v>6390.3</x:v>
      </x:c>
      <x:c r="O97" s="11" t="n">
        <x:f>ROUND(N97-J97,2)</x:f>
        <x:v>0</x:v>
      </x:c>
    </x:row>
    <x:row r="98" ht="84" customHeight="1">
      <x:c r="A98" s="8" t="str">
        <x:v>ED-0002</x:v>
      </x:c>
      <x:c r="B98" s="8" t="str">
        <x:v>Diamantino</x:v>
      </x:c>
      <x:c r="C98" s="8" t="str">
        <x:v>Nobres</x:v>
      </x:c>
      <x:c r="D98" s="8" t="n">
        <x:v>46</x:v>
      </x:c>
      <x:c r="E98" s="8" t="str">
        <x:v>REQUEIJÃO CREMOSO</x:v>
      </x:c>
      <x:c r="F98" s="8" t="str">
        <x:v>REQUEIJÃO CREMOSO,</x:v>
      </x:c>
      <x:c r="G98" s="8" t="str">
        <x:v>Unidade de</x:v>
      </x:c>
      <x:c r="H98" s="11" t="n">
        <x:v>817</x:v>
      </x:c>
      <x:c r="I98" s="11" t="n">
        <x:v>10.86</x:v>
      </x:c>
      <x:c r="J98" s="11" t="n">
        <x:v>8872.62</x:v>
      </x:c>
      <x:c r="K98" s="11" t="n">
        <x:v>22</x:v>
      </x:c>
      <x:c r="L98" s="11" t="str">
        <x:v>Extração parcial do início da descrição; conferir unidade/descrição completa no PDF.</x:v>
      </x:c>
      <x:c r="M98" s="11" t="str">
        <x:v>DOC-0002</x:v>
      </x:c>
      <x:c r="N98" s="11" t="n">
        <x:f>H98*I98</x:f>
        <x:v>8872.619999999999</x:v>
      </x:c>
      <x:c r="O98" s="11" t="n">
        <x:f>ROUND(N98-J98,2)</x:f>
        <x:v>0</x:v>
      </x:c>
    </x:row>
    <x:row r="99" ht="84" customHeight="1">
      <x:c r="A99" s="8" t="str">
        <x:v>ED-0002</x:v>
      </x:c>
      <x:c r="B99" s="8" t="str">
        <x:v>Diamantino</x:v>
      </x:c>
      <x:c r="C99" s="8" t="str">
        <x:v>Nobres</x:v>
      </x:c>
      <x:c r="D99" s="8" t="n">
        <x:v>47</x:v>
      </x:c>
      <x:c r="E99" s="8" t="str">
        <x:v>RÚCULA</x:v>
      </x:c>
      <x:c r="F99" s="8" t="str">
        <x:v>RÚCULA, com folhas inteiras,</x:v>
      </x:c>
      <x:c r="G99" s="8" t="str">
        <x:v>Quilograma</x:v>
      </x:c>
      <x:c r="H99" s="11" t="n">
        <x:v>811</x:v>
      </x:c>
      <x:c r="I99" s="11" t="n">
        <x:v>24.75</x:v>
      </x:c>
      <x:c r="J99" s="11" t="n">
        <x:v>20072.25</x:v>
      </x:c>
      <x:c r="K99" s="11" t="n">
        <x:v>23</x:v>
      </x:c>
      <x:c r="L99" s="11" t="str">
        <x:v>Extração parcial do início da descrição; conferir unidade/descrição completa no PDF.</x:v>
      </x:c>
      <x:c r="M99" s="11" t="str">
        <x:v>DOC-0002</x:v>
      </x:c>
      <x:c r="N99" s="11" t="n">
        <x:f>H99*I99</x:f>
        <x:v>20072.25</x:v>
      </x:c>
      <x:c r="O99" s="11" t="n">
        <x:f>ROUND(N99-J99,2)</x:f>
        <x:v>0</x:v>
      </x:c>
    </x:row>
    <x:row r="100" ht="84" customHeight="1">
      <x:c r="A100" s="8" t="str">
        <x:v>ED-0002</x:v>
      </x:c>
      <x:c r="B100" s="8" t="str">
        <x:v>Diamantino</x:v>
      </x:c>
      <x:c r="C100" s="8" t="str">
        <x:v>Nobres</x:v>
      </x:c>
      <x:c r="D100" s="8" t="n">
        <x:v>48</x:v>
      </x:c>
      <x:c r="E100" s="8" t="str">
        <x:v>SALSA</x:v>
      </x:c>
      <x:c r="F100" s="8" t="str">
        <x:v>SALSA, com talos e folhas</x:v>
      </x:c>
      <x:c r="G100" s="8" t="str">
        <x:v>Quilograma</x:v>
      </x:c>
      <x:c r="H100" s="11" t="n">
        <x:v>413</x:v>
      </x:c>
      <x:c r="I100" s="11" t="n">
        <x:v>27.5</x:v>
      </x:c>
      <x:c r="J100" s="11" t="n">
        <x:v>11357.5</x:v>
      </x:c>
      <x:c r="K100" s="11" t="n">
        <x:v>23</x:v>
      </x:c>
      <x:c r="L100" s="11" t="str">
        <x:v>Extração parcial do início da descrição; conferir unidade/descrição completa no PDF.</x:v>
      </x:c>
      <x:c r="M100" s="11" t="str">
        <x:v>DOC-0002</x:v>
      </x:c>
      <x:c r="N100" s="11" t="n">
        <x:f>H100*I100</x:f>
        <x:v>11357.5</x:v>
      </x:c>
      <x:c r="O100" s="11" t="n">
        <x:f>ROUND(N100-J100,2)</x:f>
        <x:v>0</x:v>
      </x:c>
    </x:row>
    <x:row r="101" ht="84" customHeight="1">
      <x:c r="A101" s="8" t="str">
        <x:v>ED-0002</x:v>
      </x:c>
      <x:c r="B101" s="8" t="str">
        <x:v>Diamantino</x:v>
      </x:c>
      <x:c r="C101" s="8" t="str">
        <x:v>Nobres</x:v>
      </x:c>
      <x:c r="D101" s="8" t="n">
        <x:v>49</x:v>
      </x:c>
      <x:c r="E101" s="8" t="str">
        <x:v>TOMATE SALADA</x:v>
      </x:c>
      <x:c r="F101" s="8" t="str">
        <x:v>TOMATE SALADA, inteiros,</x:v>
      </x:c>
      <x:c r="G101" s="8" t="str">
        <x:v>Quilograma</x:v>
      </x:c>
      <x:c r="H101" s="11" t="n">
        <x:v>1136</x:v>
      </x:c>
      <x:c r="I101" s="11" t="n">
        <x:v>10.48</x:v>
      </x:c>
      <x:c r="J101" s="11" t="n">
        <x:v>11905.28</x:v>
      </x:c>
      <x:c r="K101" s="11" t="n">
        <x:v>23</x:v>
      </x:c>
      <x:c r="L101" s="11" t="str">
        <x:v>Extração parcial do início da descrição; conferir unidade/descrição completa no PDF.</x:v>
      </x:c>
      <x:c r="M101" s="11" t="str">
        <x:v>DOC-0002</x:v>
      </x:c>
      <x:c r="N101" s="11" t="n">
        <x:f>H101*I101</x:f>
        <x:v>11905.28</x:v>
      </x:c>
      <x:c r="O101" s="11" t="n">
        <x:f>ROUND(N101-J101,2)</x:f>
        <x:v>0</x:v>
      </x:c>
    </x:row>
    <x:row r="102" ht="84" customHeight="1">
      <x:c r="A102" s="8" t="str">
        <x:v>ED-0002</x:v>
      </x:c>
      <x:c r="B102" s="8" t="str">
        <x:v>Diamantino</x:v>
      </x:c>
      <x:c r="C102" s="8" t="str">
        <x:v>Nobres</x:v>
      </x:c>
      <x:c r="D102" s="8" t="n">
        <x:v>50</x:v>
      </x:c>
      <x:c r="E102" s="8" t="str">
        <x:v>VAGEM</x:v>
      </x:c>
      <x:c r="F102" s="8" t="str">
        <x:v>VAGEM, inteira, livre de</x:v>
      </x:c>
      <x:c r="G102" s="8" t="str">
        <x:v>Quilograma</x:v>
      </x:c>
      <x:c r="H102" s="11" t="n">
        <x:v>339</x:v>
      </x:c>
      <x:c r="I102" s="11" t="n">
        <x:v>24.32</x:v>
      </x:c>
      <x:c r="J102" s="11" t="n">
        <x:v>8244.48</x:v>
      </x:c>
      <x:c r="K102" s="11" t="n">
        <x:v>24</x:v>
      </x:c>
      <x:c r="L102" s="11" t="str">
        <x:v>Extração parcial do início da descrição; conferir unidade/descrição completa no PDF.</x:v>
      </x:c>
      <x:c r="M102" s="11" t="str">
        <x:v>DOC-0002</x:v>
      </x:c>
      <x:c r="N102" s="11" t="n">
        <x:f>H102*I102</x:f>
        <x:v>8244.48</x:v>
      </x:c>
      <x:c r="O102" s="11" t="n">
        <x:f>ROUND(N102-J102,2)</x:f>
        <x:v>0</x:v>
      </x:c>
    </x:row>
    <x:row r="103" ht="84" customHeight="1">
      <x:c r="A103" s="8" t="str">
        <x:v>ED-0003</x:v>
      </x:c>
      <x:c r="B103" s="8" t="str">
        <x:v>Diamantino</x:v>
      </x:c>
      <x:c r="C103" s="8" t="str">
        <x:v>Santo Afonso</x:v>
      </x:c>
      <x:c r="D103" s="8" t="n">
        <x:v>1</x:v>
      </x:c>
      <x:c r="E103" s="8" t="str">
        <x:v>intactas</x:v>
      </x:c>
      <x:c r="F103" s="8" t="str">
        <x:v>intactas, de forma que não</x:v>
      </x:c>
      <x:c r="G103" s="8" t="str">
        <x:v>Quilograma</x:v>
      </x:c>
      <x:c r="H103" s="11" t="n">
        <x:v>139</x:v>
      </x:c>
      <x:c r="I103" s="11" t="n">
        <x:v>11.93</x:v>
      </x:c>
      <x:c r="J103" s="11" t="n">
        <x:v>1658.27</x:v>
      </x:c>
      <x:c r="K103" s="11" t="n">
        <x:v>3</x:v>
      </x:c>
      <x:c r="L103" s="11" t="str">
        <x:v>Extração parcial do início da descrição; conferir unidade/descrição completa no PDF.</x:v>
      </x:c>
      <x:c r="M103" s="11" t="str">
        <x:v>DOC-0003</x:v>
      </x:c>
      <x:c r="N103" s="11" t="n">
        <x:f>H103*I103</x:f>
        <x:v>1658.27</x:v>
      </x:c>
      <x:c r="O103" s="11" t="n">
        <x:f>ROUND(N103-J103,2)</x:f>
        <x:v>0</x:v>
      </x:c>
    </x:row>
    <x:row r="104" ht="84" customHeight="1">
      <x:c r="A104" s="8" t="str">
        <x:v>ED-0003</x:v>
      </x:c>
      <x:c r="B104" s="8" t="str">
        <x:v>Diamantino</x:v>
      </x:c>
      <x:c r="C104" s="8" t="str">
        <x:v>Santo Afonso</x:v>
      </x:c>
      <x:c r="D104" s="8" t="n">
        <x:v>4</x:v>
      </x:c>
      <x:c r="E104" s="8" t="str">
        <x:v>mínimos de identidade e</x:v>
      </x:c>
      <x:c r="F104" s="8" t="str">
        <x:v>mínimos de identidade e</x:v>
      </x:c>
      <x:c r="G104" s="8" t="str">
        <x:v>Quilograma</x:v>
      </x:c>
      <x:c r="H104" s="11" t="n">
        <x:v>52</x:v>
      </x:c>
      <x:c r="I104" s="11" t="n">
        <x:v>12.79</x:v>
      </x:c>
      <x:c r="J104" s="11" t="n">
        <x:v>665.08</x:v>
      </x:c>
      <x:c r="K104" s="11" t="n">
        <x:v>4</x:v>
      </x:c>
      <x:c r="L104" s="11" t="str">
        <x:v>Extração parcial do início da descrição; conferir unidade/descrição completa no PDF.</x:v>
      </x:c>
      <x:c r="M104" s="11" t="str">
        <x:v>DOC-0003</x:v>
      </x:c>
      <x:c r="N104" s="11" t="n">
        <x:f>H104*I104</x:f>
        <x:v>665.0799999999999</x:v>
      </x:c>
      <x:c r="O104" s="11" t="n">
        <x:f>ROUND(N104-J104,2)</x:f>
        <x:v>0</x:v>
      </x:c>
    </x:row>
    <x:row r="105" ht="84" customHeight="1">
      <x:c r="A105" s="8" t="str">
        <x:v>ED-0003</x:v>
      </x:c>
      <x:c r="B105" s="8" t="str">
        <x:v>Diamantino</x:v>
      </x:c>
      <x:c r="C105" s="8" t="str">
        <x:v>Santo Afonso</x:v>
      </x:c>
      <x:c r="D105" s="8" t="n">
        <x:v>5</x:v>
      </x:c>
      <x:c r="E105" s="8" t="str">
        <x:v>aos requisitos mínimos de</x:v>
      </x:c>
      <x:c r="F105" s="8" t="str">
        <x:v>aos requisitos mínimos de</x:v>
      </x:c>
      <x:c r="G105" s="8" t="str">
        <x:v>Quilograma</x:v>
      </x:c>
      <x:c r="H105" s="11" t="n">
        <x:v>35</x:v>
      </x:c>
      <x:c r="I105" s="11" t="n">
        <x:v>34.98</x:v>
      </x:c>
      <x:c r="J105" s="11" t="n">
        <x:v>1224.3</x:v>
      </x:c>
      <x:c r="K105" s="11" t="n">
        <x:v>4</x:v>
      </x:c>
      <x:c r="L105" s="11" t="str">
        <x:v>Extração parcial do início da descrição; conferir unidade/descrição completa no PDF.</x:v>
      </x:c>
      <x:c r="M105" s="11" t="str">
        <x:v>DOC-0003</x:v>
      </x:c>
      <x:c r="N105" s="11" t="n">
        <x:f>H105*I105</x:f>
        <x:v>1224.3</x:v>
      </x:c>
      <x:c r="O105" s="11" t="n">
        <x:f>ROUND(N105-J105,2)</x:f>
        <x:v>0</x:v>
      </x:c>
    </x:row>
    <x:row r="106" ht="84" customHeight="1">
      <x:c r="A106" s="8" t="str">
        <x:v>ED-0003</x:v>
      </x:c>
      <x:c r="B106" s="8" t="str">
        <x:v>Diamantino</x:v>
      </x:c>
      <x:c r="C106" s="8" t="str">
        <x:v>Santo Afonso</x:v>
      </x:c>
      <x:c r="D106" s="8" t="n">
        <x:v>6</x:v>
      </x:c>
      <x:c r="E106" s="8" t="str">
        <x:v>deverão atender aos requisitos</x:v>
      </x:c>
      <x:c r="F106" s="8" t="str">
        <x:v>deverão atender aos requisitos</x:v>
      </x:c>
      <x:c r="G106" s="8" t="str">
        <x:v>Quilograma</x:v>
      </x:c>
      <x:c r="H106" s="11" t="n">
        <x:v>208</x:v>
      </x:c>
      <x:c r="I106" s="11" t="n">
        <x:v>27.34</x:v>
      </x:c>
      <x:c r="J106" s="11" t="n">
        <x:v>5686.72</x:v>
      </x:c>
      <x:c r="K106" s="11" t="n">
        <x:v>4</x:v>
      </x:c>
      <x:c r="L106" s="11" t="str">
        <x:v>Extração parcial do início da descrição; conferir unidade/descrição completa no PDF.</x:v>
      </x:c>
      <x:c r="M106" s="11" t="str">
        <x:v>DOC-0003</x:v>
      </x:c>
      <x:c r="N106" s="11" t="n">
        <x:f>H106*I106</x:f>
        <x:v>5686.72</x:v>
      </x:c>
      <x:c r="O106" s="11" t="n">
        <x:f>ROUND(N106-J106,2)</x:f>
        <x:v>0</x:v>
      </x:c>
    </x:row>
    <x:row r="107" ht="84" customHeight="1">
      <x:c r="A107" s="8" t="str">
        <x:v>ED-0003</x:v>
      </x:c>
      <x:c r="B107" s="8" t="str">
        <x:v>Diamantino</x:v>
      </x:c>
      <x:c r="C107" s="8" t="str">
        <x:v>Santo Afonso</x:v>
      </x:c>
      <x:c r="D107" s="8" t="n">
        <x:v>7</x:v>
      </x:c>
      <x:c r="E107" s="8" t="str">
        <x:v>deverão atender aos requisitos</x:v>
      </x:c>
      <x:c r="F107" s="8" t="str">
        <x:v>deverão atender aos requisitos</x:v>
      </x:c>
      <x:c r="G107" s="8" t="str">
        <x:v>Quilograma</x:v>
      </x:c>
      <x:c r="H107" s="11" t="n">
        <x:v>35</x:v>
      </x:c>
      <x:c r="I107" s="11" t="n">
        <x:v>29.68</x:v>
      </x:c>
      <x:c r="J107" s="11" t="n">
        <x:v>1038.8</x:v>
      </x:c>
      <x:c r="K107" s="11" t="n">
        <x:v>5</x:v>
      </x:c>
      <x:c r="L107" s="11" t="str">
        <x:v>Extração parcial do início da descrição; conferir unidade/descrição completa no PDF.</x:v>
      </x:c>
      <x:c r="M107" s="11" t="str">
        <x:v>DOC-0003</x:v>
      </x:c>
      <x:c r="N107" s="11" t="n">
        <x:f>H107*I107</x:f>
        <x:v>1038.8</x:v>
      </x:c>
      <x:c r="O107" s="11" t="n">
        <x:f>ROUND(N107-J107,2)</x:f>
        <x:v>0</x:v>
      </x:c>
    </x:row>
    <x:row r="108" ht="84" customHeight="1">
      <x:c r="A108" s="8" t="str">
        <x:v>ED-0003</x:v>
      </x:c>
      <x:c r="B108" s="8" t="str">
        <x:v>Diamantino</x:v>
      </x:c>
      <x:c r="C108" s="8" t="str">
        <x:v>Santo Afonso</x:v>
      </x:c>
      <x:c r="D108" s="8" t="n">
        <x:v>8</x:v>
      </x:c>
      <x:c r="E108" s="8" t="str">
        <x:v>que não deixem exposta a polpa</x:v>
      </x:c>
      <x:c r="F108" s="8" t="str">
        <x:v>que não deixem exposta a polpa,</x:v>
      </x:c>
      <x:c r="G108" s="8" t="str">
        <x:v>Quilograma</x:v>
      </x:c>
      <x:c r="H108" s="11" t="n">
        <x:v>69</x:v>
      </x:c>
      <x:c r="I108" s="11" t="n">
        <x:v>11.13</x:v>
      </x:c>
      <x:c r="J108" s="11" t="n">
        <x:v>767.97</x:v>
      </x:c>
      <x:c r="K108" s="11" t="n">
        <x:v>5</x:v>
      </x:c>
      <x:c r="L108" s="11" t="str">
        <x:v>Extração parcial do início da descrição; conferir unidade/descrição completa no PDF.</x:v>
      </x:c>
      <x:c r="M108" s="11" t="str">
        <x:v>DOC-0003</x:v>
      </x:c>
      <x:c r="N108" s="11" t="n">
        <x:f>H108*I108</x:f>
        <x:v>767.97</x:v>
      </x:c>
      <x:c r="O108" s="11" t="n">
        <x:f>ROUND(N108-J108,2)</x:f>
        <x:v>0</x:v>
      </x:c>
    </x:row>
    <x:row r="109" ht="84" customHeight="1">
      <x:c r="A109" s="8" t="str">
        <x:v>ED-0003</x:v>
      </x:c>
      <x:c r="B109" s="8" t="str">
        <x:v>Diamantino</x:v>
      </x:c>
      <x:c r="C109" s="8" t="str">
        <x:v>Santo Afonso</x:v>
      </x:c>
      <x:c r="D109" s="8" t="n">
        <x:v>9</x:v>
      </x:c>
      <x:c r="E109" s="8" t="str">
        <x:v>que não deixem exposta a polpa</x:v>
      </x:c>
      <x:c r="F109" s="8" t="str">
        <x:v>que não deixem exposta a polpa,</x:v>
      </x:c>
      <x:c r="G109" s="8" t="str">
        <x:v>Quilograma</x:v>
      </x:c>
      <x:c r="H109" s="11" t="n">
        <x:v>86</x:v>
      </x:c>
      <x:c r="I109" s="11" t="n">
        <x:v>8.11</x:v>
      </x:c>
      <x:c r="J109" s="11" t="n">
        <x:v>697.46</x:v>
      </x:c>
      <x:c r="K109" s="11" t="n">
        <x:v>6</x:v>
      </x:c>
      <x:c r="L109" s="11" t="str">
        <x:v>Extração parcial do início da descrição; conferir unidade/descrição completa no PDF.</x:v>
      </x:c>
      <x:c r="M109" s="11" t="str">
        <x:v>DOC-0003</x:v>
      </x:c>
      <x:c r="N109" s="11" t="n">
        <x:f>H109*I109</x:f>
        <x:v>697.4599999999999</x:v>
      </x:c>
      <x:c r="O109" s="11" t="n">
        <x:f>ROUND(N109-J109,2)</x:f>
        <x:v>0</x:v>
      </x:c>
    </x:row>
    <x:row r="110" ht="84" customHeight="1">
      <x:c r="A110" s="8" t="str">
        <x:v>ED-0003</x:v>
      </x:c>
      <x:c r="B110" s="8" t="str">
        <x:v>Diamantino</x:v>
      </x:c>
      <x:c r="C110" s="8" t="str">
        <x:v>Santo Afonso</x:v>
      </x:c>
      <x:c r="D110" s="8" t="n">
        <x:v>11</x:v>
      </x:c>
      <x:c r="E110" s="8" t="str">
        <x:v>idêntico ao natural de coco</x:v>
      </x:c>
      <x:c r="F110" s="8" t="str">
        <x:v>idêntico ao natural de coco,</x:v>
      </x:c>
      <x:c r="G110" s="8" t="str">
        <x:v>Unidade de</x:v>
      </x:c>
      <x:c r="H110" s="11" t="n">
        <x:v>231</x:v>
      </x:c>
      <x:c r="I110" s="11" t="n">
        <x:v>11.4</x:v>
      </x:c>
      <x:c r="J110" s="11" t="n">
        <x:v>2633.4</x:v>
      </x:c>
      <x:c r="K110" s="11" t="n">
        <x:v>6</x:v>
      </x:c>
      <x:c r="L110" s="11" t="str">
        <x:v>Extração parcial do início da descrição; conferir unidade/descrição completa no PDF.</x:v>
      </x:c>
      <x:c r="M110" s="11" t="str">
        <x:v>DOC-0003</x:v>
      </x:c>
      <x:c r="N110" s="11" t="n">
        <x:f>H110*I110</x:f>
        <x:v>2633.4</x:v>
      </x:c>
      <x:c r="O110" s="11" t="n">
        <x:f>ROUND(N110-J110,2)</x:f>
        <x:v>0</x:v>
      </x:c>
    </x:row>
    <x:row r="111" ht="84" customHeight="1">
      <x:c r="A111" s="8" t="str">
        <x:v>ED-0003</x:v>
      </x:c>
      <x:c r="B111" s="8" t="str">
        <x:v>Diamantino</x:v>
      </x:c>
      <x:c r="C111" s="8" t="str">
        <x:v>Santo Afonso</x:v>
      </x:c>
      <x:c r="D111" s="8" t="n">
        <x:v>13</x:v>
      </x:c>
      <x:c r="E111" s="8" t="str">
        <x:v>adicionado de fermento químico</x:v>
      </x:c>
      <x:c r="F111" s="8" t="str">
        <x:v>adicionado de fermento químico,</x:v>
      </x:c>
      <x:c r="G111" s="8" t="str">
        <x:v>Quilograma</x:v>
      </x:c>
      <x:c r="H111" s="11" t="n">
        <x:v>227</x:v>
      </x:c>
      <x:c r="I111" s="11" t="n">
        <x:v>37</x:v>
      </x:c>
      <x:c r="J111" s="11" t="n">
        <x:v>8399</x:v>
      </x:c>
      <x:c r="K111" s="11" t="n">
        <x:v>7</x:v>
      </x:c>
      <x:c r="L111" s="11" t="str">
        <x:v>Extração parcial do início da descrição; conferir unidade/descrição completa no PDF.</x:v>
      </x:c>
      <x:c r="M111" s="11" t="str">
        <x:v>DOC-0003</x:v>
      </x:c>
      <x:c r="N111" s="11" t="n">
        <x:f>H111*I111</x:f>
        <x:v>8399</x:v>
      </x:c>
      <x:c r="O111" s="11" t="n">
        <x:f>ROUND(N111-J111,2)</x:f>
        <x:v>0</x:v>
      </x:c>
    </x:row>
    <x:row r="112" ht="84" customHeight="1">
      <x:c r="A112" s="8" t="str">
        <x:v>ED-0003</x:v>
      </x:c>
      <x:c r="B112" s="8" t="str">
        <x:v>Diamantino</x:v>
      </x:c>
      <x:c r="C112" s="8" t="str">
        <x:v>Santo Afonso</x:v>
      </x:c>
      <x:c r="D112" s="8" t="n">
        <x:v>15</x:v>
      </x:c>
      <x:c r="E112" s="8" t="str">
        <x:v>Entregue      em     embalagens</x:v>
      </x:c>
      <x:c r="F112" s="8" t="str">
        <x:v>Entregue      em     embalagens</x:v>
      </x:c>
      <x:c r="G112" s="8" t="str">
        <x:v>Quilograma</x:v>
      </x:c>
      <x:c r="H112" s="11" t="n">
        <x:v>226</x:v>
      </x:c>
      <x:c r="I112" s="11" t="n">
        <x:v>33</x:v>
      </x:c>
      <x:c r="J112" s="11" t="n">
        <x:v>7458</x:v>
      </x:c>
      <x:c r="K112" s="11" t="n">
        <x:v>8</x:v>
      </x:c>
      <x:c r="L112" s="11" t="str">
        <x:v>Extração parcial do início da descrição; conferir unidade/descrição completa no PDF.</x:v>
      </x:c>
      <x:c r="M112" s="11" t="str">
        <x:v>DOC-0003</x:v>
      </x:c>
      <x:c r="N112" s="11" t="n">
        <x:f>H112*I112</x:f>
        <x:v>7458</x:v>
      </x:c>
      <x:c r="O112" s="11" t="n">
        <x:f>ROUND(N112-J112,2)</x:f>
        <x:v>0</x:v>
      </x:c>
    </x:row>
    <x:row r="113" ht="84" customHeight="1">
      <x:c r="A113" s="8" t="str">
        <x:v>ED-0003</x:v>
      </x:c>
      <x:c r="B113" s="8" t="str">
        <x:v>Diamantino</x:v>
      </x:c>
      <x:c r="C113" s="8" t="str">
        <x:v>Santo Afonso</x:v>
      </x:c>
      <x:c r="D113" s="8" t="n">
        <x:v>16</x:v>
      </x:c>
      <x:c r="E113" s="8" t="str">
        <x:v>características deverão atender</x:v>
      </x:c>
      <x:c r="F113" s="8" t="str">
        <x:v>características deverão atender</x:v>
      </x:c>
      <x:c r="G113" s="8" t="str">
        <x:v>Unidade de</x:v>
      </x:c>
      <x:c r="H113" s="11" t="n">
        <x:v>139</x:v>
      </x:c>
      <x:c r="I113" s="11" t="n">
        <x:v>23.72</x:v>
      </x:c>
      <x:c r="J113" s="11" t="n">
        <x:v>3297.08</x:v>
      </x:c>
      <x:c r="K113" s="11" t="n">
        <x:v>8</x:v>
      </x:c>
      <x:c r="L113" s="11" t="str">
        <x:v>Extração parcial do início da descrição; conferir unidade/descrição completa no PDF.</x:v>
      </x:c>
      <x:c r="M113" s="11" t="str">
        <x:v>DOC-0003</x:v>
      </x:c>
      <x:c r="N113" s="11" t="n">
        <x:f>H113*I113</x:f>
        <x:v>3297.08</x:v>
      </x:c>
      <x:c r="O113" s="11" t="n">
        <x:f>ROUND(N113-J113,2)</x:f>
        <x:v>0</x:v>
      </x:c>
    </x:row>
    <x:row r="114" ht="84" customHeight="1">
      <x:c r="A114" s="8" t="str">
        <x:v>ED-0003</x:v>
      </x:c>
      <x:c r="B114" s="8" t="str">
        <x:v>Diamantino</x:v>
      </x:c>
      <x:c r="C114" s="8" t="str">
        <x:v>Santo Afonso</x:v>
      </x:c>
      <x:c r="D114" s="8" t="n">
        <x:v>17</x:v>
      </x:c>
      <x:c r="E114" s="8" t="str">
        <x:v>ou congelada. As características</x:v>
      </x:c>
      <x:c r="F114" s="8" t="str">
        <x:v>ou congelada. As características</x:v>
      </x:c>
      <x:c r="G114" s="8" t="str">
        <x:v>Quilograma</x:v>
      </x:c>
      <x:c r="H114" s="11" t="n">
        <x:v>66</x:v>
      </x:c>
      <x:c r="I114" s="11" t="n">
        <x:v>29.5</x:v>
      </x:c>
      <x:c r="J114" s="11" t="n">
        <x:v>1947</x:v>
      </x:c>
      <x:c r="K114" s="11" t="n">
        <x:v>9</x:v>
      </x:c>
      <x:c r="L114" s="11" t="str">
        <x:v>Extração parcial do início da descrição; conferir unidade/descrição completa no PDF.</x:v>
      </x:c>
      <x:c r="M114" s="11" t="str">
        <x:v>DOC-0003</x:v>
      </x:c>
      <x:c r="N114" s="11" t="n">
        <x:f>H114*I114</x:f>
        <x:v>1947</x:v>
      </x:c>
      <x:c r="O114" s="11" t="n">
        <x:f>ROUND(N114-J114,2)</x:f>
        <x:v>0</x:v>
      </x:c>
    </x:row>
    <x:row r="115" ht="84" customHeight="1">
      <x:c r="A115" s="8" t="str">
        <x:v>ED-0003</x:v>
      </x:c>
      <x:c r="B115" s="8" t="str">
        <x:v>Diamantino</x:v>
      </x:c>
      <x:c r="C115" s="8" t="str">
        <x:v>Santo Afonso</x:v>
      </x:c>
      <x:c r="D115" s="8" t="n">
        <x:v>18</x:v>
      </x:c>
      <x:c r="E115" s="8" t="str">
        <x:v>de podridões</x:v>
      </x:c>
      <x:c r="F115" s="8" t="str">
        <x:v>de podridões, não se apresentar</x:v>
      </x:c>
      <x:c r="G115" s="8" t="str">
        <x:v>Quilograma</x:v>
      </x:c>
      <x:c r="H115" s="11" t="n">
        <x:v>156</x:v>
      </x:c>
      <x:c r="I115" s="11" t="n">
        <x:v>8.98</x:v>
      </x:c>
      <x:c r="J115" s="11" t="n">
        <x:v>1400.88</x:v>
      </x:c>
      <x:c r="K115" s="11" t="n">
        <x:v>9</x:v>
      </x:c>
      <x:c r="L115" s="11" t="str">
        <x:v>Extração parcial do início da descrição; conferir unidade/descrição completa no PDF.</x:v>
      </x:c>
      <x:c r="M115" s="11" t="str">
        <x:v>DOC-0003</x:v>
      </x:c>
      <x:c r="N115" s="11" t="n">
        <x:f>H115*I115</x:f>
        <x:v>1400.88</x:v>
      </x:c>
      <x:c r="O115" s="11" t="n">
        <x:f>ROUND(N115-J115,2)</x:f>
        <x:v>0</x:v>
      </x:c>
    </x:row>
    <x:row r="116" ht="84" customHeight="1">
      <x:c r="A116" s="8" t="str">
        <x:v>ED-0003</x:v>
      </x:c>
      <x:c r="B116" s="8" t="str">
        <x:v>Diamantino</x:v>
      </x:c>
      <x:c r="C116" s="8" t="str">
        <x:v>Santo Afonso</x:v>
      </x:c>
      <x:c r="D116" s="8" t="n">
        <x:v>19</x:v>
      </x:c>
      <x:c r="E116" s="8" t="str">
        <x:v>congelado. As características</x:v>
      </x:c>
      <x:c r="F116" s="8" t="str">
        <x:v>congelado. As características</x:v>
      </x:c>
      <x:c r="G116" s="8" t="str">
        <x:v>Quilograma</x:v>
      </x:c>
      <x:c r="H116" s="11" t="n">
        <x:v>7</x:v>
      </x:c>
      <x:c r="I116" s="11" t="n">
        <x:v>34.06</x:v>
      </x:c>
      <x:c r="J116" s="11" t="n">
        <x:v>238.42</x:v>
      </x:c>
      <x:c r="K116" s="11" t="n">
        <x:v>9</x:v>
      </x:c>
      <x:c r="L116" s="11" t="str">
        <x:v>Extração parcial do início da descrição; conferir unidade/descrição completa no PDF.</x:v>
      </x:c>
      <x:c r="M116" s="11" t="str">
        <x:v>DOC-0003</x:v>
      </x:c>
      <x:c r="N116" s="11" t="n">
        <x:f>H116*I116</x:f>
        <x:v>238.42000000000002</x:v>
      </x:c>
      <x:c r="O116" s="11" t="n">
        <x:f>ROUND(N116-J116,2)</x:f>
        <x:v>0</x:v>
      </x:c>
    </x:row>
    <x:row r="117" ht="84" customHeight="1">
      <x:c r="A117" s="8" t="str">
        <x:v>ED-0003</x:v>
      </x:c>
      <x:c r="B117" s="8" t="str">
        <x:v>Diamantino</x:v>
      </x:c>
      <x:c r="C117" s="8" t="str">
        <x:v>Santo Afonso</x:v>
      </x:c>
      <x:c r="D117" s="8" t="n">
        <x:v>21</x:v>
      </x:c>
      <x:c r="E117" s="8" t="str">
        <x:v>deverão atender aos requisitos</x:v>
      </x:c>
      <x:c r="F117" s="8" t="str">
        <x:v>deverão atender aos requisitos</x:v>
      </x:c>
      <x:c r="G117" s="8" t="str">
        <x:v>Quilograma</x:v>
      </x:c>
      <x:c r="H117" s="11" t="n">
        <x:v>208</x:v>
      </x:c>
      <x:c r="I117" s="11" t="n">
        <x:v>28.48</x:v>
      </x:c>
      <x:c r="J117" s="11" t="n">
        <x:v>5923.84</x:v>
      </x:c>
      <x:c r="K117" s="11" t="n">
        <x:v>10</x:v>
      </x:c>
      <x:c r="L117" s="11" t="str">
        <x:v>Extração parcial do início da descrição; conferir unidade/descrição completa no PDF.</x:v>
      </x:c>
      <x:c r="M117" s="11" t="str">
        <x:v>DOC-0003</x:v>
      </x:c>
      <x:c r="N117" s="11" t="n">
        <x:f>H117*I117</x:f>
        <x:v>5923.84</x:v>
      </x:c>
      <x:c r="O117" s="11" t="n">
        <x:f>ROUND(N117-J117,2)</x:f>
        <x:v>0</x:v>
      </x:c>
    </x:row>
    <x:row r="118" ht="84" customHeight="1">
      <x:c r="A118" s="8" t="str">
        <x:v>ED-0003</x:v>
      </x:c>
      <x:c r="B118" s="8" t="str">
        <x:v>Diamantino</x:v>
      </x:c>
      <x:c r="C118" s="8" t="str">
        <x:v>Santo Afonso</x:v>
      </x:c>
      <x:c r="D118" s="8" t="n">
        <x:v>26</x:v>
      </x:c>
      <x:c r="E118" s="8" t="str">
        <x:v>intactas</x:v>
      </x:c>
      <x:c r="F118" s="8" t="str">
        <x:v>intactas, de forma que não</x:v>
      </x:c>
      <x:c r="G118" s="8" t="str">
        <x:v>Quilograma</x:v>
      </x:c>
      <x:c r="H118" s="11" t="n">
        <x:v>40</x:v>
      </x:c>
      <x:c r="I118" s="11" t="n">
        <x:v>12.65</x:v>
      </x:c>
      <x:c r="J118" s="11" t="n">
        <x:v>506</x:v>
      </x:c>
      <x:c r="K118" s="11" t="n">
        <x:v>12</x:v>
      </x:c>
      <x:c r="L118" s="11" t="str">
        <x:v>Extração parcial do início da descrição; conferir unidade/descrição completa no PDF.</x:v>
      </x:c>
      <x:c r="M118" s="11" t="str">
        <x:v>DOC-0003</x:v>
      </x:c>
      <x:c r="N118" s="11" t="n">
        <x:f>H118*I118</x:f>
        <x:v>506</x:v>
      </x:c>
      <x:c r="O118" s="11" t="n">
        <x:f>ROUND(N118-J118,2)</x:f>
        <x:v>0</x:v>
      </x:c>
    </x:row>
    <x:row r="119" ht="84" customHeight="1">
      <x:c r="A119" s="8" t="str">
        <x:v>ED-0003</x:v>
      </x:c>
      <x:c r="B119" s="8" t="str">
        <x:v>Diamantino</x:v>
      </x:c>
      <x:c r="C119" s="8" t="str">
        <x:v>Santo Afonso</x:v>
      </x:c>
      <x:c r="D119" s="8" t="n">
        <x:v>29</x:v>
      </x:c>
      <x:c r="E119" s="8" t="str">
        <x:v>aos requisitos mínimos de</x:v>
      </x:c>
      <x:c r="F119" s="8" t="str">
        <x:v>aos requisitos mínimos de</x:v>
      </x:c>
      <x:c r="G119" s="8" t="str">
        <x:v>Unidade de</x:v>
      </x:c>
      <x:c r="H119" s="11" t="n">
        <x:v>178</x:v>
      </x:c>
      <x:c r="I119" s="11" t="n">
        <x:v>33.49</x:v>
      </x:c>
      <x:c r="J119" s="11" t="n">
        <x:v>5961.22</x:v>
      </x:c>
      <x:c r="K119" s="11" t="n">
        <x:v>14</x:v>
      </x:c>
      <x:c r="L119" s="11" t="str">
        <x:v>Extração parcial do início da descrição; conferir unidade/descrição completa no PDF.</x:v>
      </x:c>
      <x:c r="M119" s="11" t="str">
        <x:v>DOC-0003</x:v>
      </x:c>
      <x:c r="N119" s="11" t="n">
        <x:f>H119*I119</x:f>
        <x:v>5961.22</x:v>
      </x:c>
      <x:c r="O119" s="11" t="n">
        <x:f>ROUND(N119-J119,2)</x:f>
        <x:v>0</x:v>
      </x:c>
    </x:row>
    <x:row r="120" ht="84" customHeight="1">
      <x:c r="A120" s="8" t="str">
        <x:v>ED-0003</x:v>
      </x:c>
      <x:c r="B120" s="8" t="str">
        <x:v>Diamantino</x:v>
      </x:c>
      <x:c r="C120" s="8" t="str">
        <x:v>Santo Afonso</x:v>
      </x:c>
      <x:c r="D120" s="8" t="n">
        <x:v>32</x:v>
      </x:c>
      <x:c r="E120" s="8" t="str">
        <x:v>procedência</x:v>
      </x:c>
      <x:c r="F120" s="8" t="str">
        <x:v>procedência,         informações</x:v>
      </x:c>
      <x:c r="G120" s="8" t="str">
        <x:v>Quilograma</x:v>
      </x:c>
      <x:c r="H120" s="11" t="n">
        <x:v>277</x:v>
      </x:c>
      <x:c r="I120" s="11" t="n">
        <x:v>24</x:v>
      </x:c>
      <x:c r="J120" s="11" t="n">
        <x:v>6648</x:v>
      </x:c>
      <x:c r="K120" s="11" t="n">
        <x:v>15</x:v>
      </x:c>
      <x:c r="L120" s="11" t="str">
        <x:v>Extração parcial do início da descrição; conferir unidade/descrição completa no PDF.</x:v>
      </x:c>
      <x:c r="M120" s="11" t="str">
        <x:v>DOC-0003</x:v>
      </x:c>
      <x:c r="N120" s="11" t="n">
        <x:f>H120*I120</x:f>
        <x:v>6648</x:v>
      </x:c>
      <x:c r="O120" s="11" t="n">
        <x:f>ROUND(N120-J120,2)</x:f>
        <x:v>0</x:v>
      </x:c>
    </x:row>
    <x:row r="121" ht="84" customHeight="1">
      <x:c r="A121" s="8" t="str">
        <x:v>ED-0003</x:v>
      </x:c>
      <x:c r="B121" s="8" t="str">
        <x:v>Diamantino</x:v>
      </x:c>
      <x:c r="C121" s="8" t="str">
        <x:v>Santo Afonso</x:v>
      </x:c>
      <x:c r="D121" s="8" t="n">
        <x:v>35</x:v>
      </x:c>
      <x:c r="E121" s="8" t="str">
        <x:v>de podridões</x:v>
      </x:c>
      <x:c r="F121" s="8" t="str">
        <x:v>de podridões, não se apresentar</x:v>
      </x:c>
      <x:c r="G121" s="8" t="str">
        <x:v>Quilograma</x:v>
      </x:c>
      <x:c r="H121" s="11" t="n">
        <x:v>42</x:v>
      </x:c>
      <x:c r="I121" s="11" t="n">
        <x:v>7.63</x:v>
      </x:c>
      <x:c r="J121" s="11" t="n">
        <x:v>320.46</x:v>
      </x:c>
      <x:c r="K121" s="11" t="n">
        <x:v>16</x:v>
      </x:c>
      <x:c r="L121" s="11" t="str">
        <x:v>Extração parcial do início da descrição; conferir unidade/descrição completa no PDF.</x:v>
      </x:c>
      <x:c r="M121" s="11" t="str">
        <x:v>DOC-0003</x:v>
      </x:c>
      <x:c r="N121" s="11" t="n">
        <x:f>H121*I121</x:f>
        <x:v>320.46</x:v>
      </x:c>
      <x:c r="O121" s="11" t="n">
        <x:f>ROUND(N121-J121,2)</x:f>
        <x:v>0</x:v>
      </x:c>
    </x:row>
    <x:row r="122" ht="84" customHeight="1">
      <x:c r="A122" s="8" t="str">
        <x:v>ED-0003</x:v>
      </x:c>
      <x:c r="B122" s="8" t="str">
        <x:v>Diamantino</x:v>
      </x:c>
      <x:c r="C122" s="8" t="str">
        <x:v>Santo Afonso</x:v>
      </x:c>
      <x:c r="D122" s="8" t="n">
        <x:v>36</x:v>
      </x:c>
      <x:c r="E122" s="8" t="str">
        <x:v>apresentar desidratada</x:v>
      </x:c>
      <x:c r="F122" s="8" t="str">
        <x:v>apresentar desidratada, murcha</x:v>
      </x:c>
      <x:c r="G122" s="8" t="str">
        <x:v>Quilograma</x:v>
      </x:c>
      <x:c r="H122" s="11" t="n">
        <x:v>14</x:v>
      </x:c>
      <x:c r="I122" s="11" t="n">
        <x:v>45.03</x:v>
      </x:c>
      <x:c r="J122" s="11" t="n">
        <x:v>630.42</x:v>
      </x:c>
      <x:c r="K122" s="11" t="n">
        <x:v>16</x:v>
      </x:c>
      <x:c r="L122" s="11" t="str">
        <x:v>Extração parcial do início da descrição; conferir unidade/descrição completa no PDF.</x:v>
      </x:c>
      <x:c r="M122" s="11" t="str">
        <x:v>DOC-0003</x:v>
      </x:c>
      <x:c r="N122" s="11" t="n">
        <x:f>H122*I122</x:f>
        <x:v>630.4200000000001</x:v>
      </x:c>
      <x:c r="O122" s="11" t="n">
        <x:f>ROUND(N122-J122,2)</x:f>
        <x:v>0</x:v>
      </x:c>
    </x:row>
    <x:row r="123" ht="84" customHeight="1">
      <x:c r="A123" s="8" t="str">
        <x:v>ED-0003</x:v>
      </x:c>
      <x:c r="B123" s="8" t="str">
        <x:v>Diamantino</x:v>
      </x:c>
      <x:c r="C123" s="8" t="str">
        <x:v>Santo Afonso</x:v>
      </x:c>
      <x:c r="D123" s="8" t="n">
        <x:v>37</x:v>
      </x:c>
      <x:c r="E123" s="8" t="str">
        <x:v>de podridões</x:v>
      </x:c>
      <x:c r="F123" s="8" t="str">
        <x:v>de podridões, não se apresentar</x:v>
      </x:c>
      <x:c r="G123" s="8" t="str">
        <x:v>Quilograma</x:v>
      </x:c>
      <x:c r="H123" s="11" t="n">
        <x:v>10</x:v>
      </x:c>
      <x:c r="I123" s="11" t="n">
        <x:v>11.77</x:v>
      </x:c>
      <x:c r="J123" s="11" t="n">
        <x:v>117.7</x:v>
      </x:c>
      <x:c r="K123" s="11" t="n">
        <x:v>17</x:v>
      </x:c>
      <x:c r="L123" s="11" t="str">
        <x:v>Extração parcial do início da descrição; conferir unidade/descrição completa no PDF.</x:v>
      </x:c>
      <x:c r="M123" s="11" t="str">
        <x:v>DOC-0003</x:v>
      </x:c>
      <x:c r="N123" s="11" t="n">
        <x:f>H123*I123</x:f>
        <x:v>117.69999999999999</x:v>
      </x:c>
      <x:c r="O123" s="11" t="n">
        <x:f>ROUND(N123-J123,2)</x:f>
        <x:v>0</x:v>
      </x:c>
    </x:row>
    <x:row r="124" ht="84" customHeight="1">
      <x:c r="A124" s="8" t="str">
        <x:v>ED-0003</x:v>
      </x:c>
      <x:c r="B124" s="8" t="str">
        <x:v>Diamantino</x:v>
      </x:c>
      <x:c r="C124" s="8" t="str">
        <x:v>Santo Afonso</x:v>
      </x:c>
      <x:c r="D124" s="8" t="n">
        <x:v>41</x:v>
      </x:c>
      <x:c r="E124" s="8" t="str">
        <x:v>estabelecidos     na     legislação</x:v>
      </x:c>
      <x:c r="F124" s="8" t="str">
        <x:v>estabelecidos     na     legislação</x:v>
      </x:c>
      <x:c r="G124" s="8" t="str">
        <x:v>Quilograma</x:v>
      </x:c>
      <x:c r="H124" s="11" t="n">
        <x:v>48</x:v>
      </x:c>
      <x:c r="I124" s="11" t="n">
        <x:v>56.08</x:v>
      </x:c>
      <x:c r="J124" s="11" t="n">
        <x:v>2691.84</x:v>
      </x:c>
      <x:c r="K124" s="11" t="n">
        <x:v>19</x:v>
      </x:c>
      <x:c r="L124" s="11" t="str">
        <x:v>Extração parcial do início da descrição; conferir unidade/descrição completa no PDF.</x:v>
      </x:c>
      <x:c r="M124" s="11" t="str">
        <x:v>DOC-0003</x:v>
      </x:c>
      <x:c r="N124" s="11" t="n">
        <x:f>H124*I124</x:f>
        <x:v>2691.84</x:v>
      </x:c>
      <x:c r="O124" s="11" t="n">
        <x:f>ROUND(N124-J124,2)</x:f>
        <x:v>0</x:v>
      </x:c>
    </x:row>
    <x:row r="125" ht="84" customHeight="1">
      <x:c r="A125" s="8" t="str">
        <x:v>ED-0003</x:v>
      </x:c>
      <x:c r="B125" s="8" t="str">
        <x:v>Diamantino</x:v>
      </x:c>
      <x:c r="C125" s="8" t="str">
        <x:v>Santo Afonso</x:v>
      </x:c>
      <x:c r="D125" s="8" t="n">
        <x:v>44</x:v>
      </x:c>
      <x:c r="E125" s="8" t="str">
        <x:v>mínimos de identidade e</x:v>
      </x:c>
      <x:c r="F125" s="8" t="str">
        <x:v>mínimos de identidade e</x:v>
      </x:c>
      <x:c r="G125" s="8" t="str">
        <x:v>Quilograma</x:v>
      </x:c>
      <x:c r="H125" s="11" t="n">
        <x:v>111</x:v>
      </x:c>
      <x:c r="I125" s="11" t="n">
        <x:v>27.38</x:v>
      </x:c>
      <x:c r="J125" s="11" t="n">
        <x:v>3039.18</x:v>
      </x:c>
      <x:c r="K125" s="11" t="n">
        <x:v>20</x:v>
      </x:c>
      <x:c r="L125" s="11" t="str">
        <x:v>Extração parcial do início da descrição; conferir unidade/descrição completa no PDF.</x:v>
      </x:c>
      <x:c r="M125" s="11" t="str">
        <x:v>DOC-0003</x:v>
      </x:c>
      <x:c r="N125" s="11" t="n">
        <x:f>H125*I125</x:f>
        <x:v>3039.18</x:v>
      </x:c>
      <x:c r="O125" s="11" t="n">
        <x:f>ROUND(N125-J125,2)</x:f>
        <x:v>0</x:v>
      </x:c>
    </x:row>
    <x:row r="126" ht="84" customHeight="1">
      <x:c r="A126" s="8" t="str">
        <x:v>ED-0003</x:v>
      </x:c>
      <x:c r="B126" s="8" t="str">
        <x:v>Diamantino</x:v>
      </x:c>
      <x:c r="C126" s="8" t="str">
        <x:v>Santo Afonso</x:v>
      </x:c>
      <x:c r="D126" s="8" t="n">
        <x:v>45</x:v>
      </x:c>
      <x:c r="E126" s="8" t="str">
        <x:v>congelada. As características</x:v>
      </x:c>
      <x:c r="F126" s="8" t="str">
        <x:v>congelada. As características</x:v>
      </x:c>
      <x:c r="G126" s="8" t="str">
        <x:v>Quilograma</x:v>
      </x:c>
      <x:c r="H126" s="11" t="n">
        <x:v>53</x:v>
      </x:c>
      <x:c r="I126" s="11" t="n">
        <x:v>28.75</x:v>
      </x:c>
      <x:c r="J126" s="11" t="n">
        <x:v>1523.75</x:v>
      </x:c>
      <x:c r="K126" s="11" t="n">
        <x:v>20</x:v>
      </x:c>
      <x:c r="L126" s="11" t="str">
        <x:v>Extração parcial do início da descrição; conferir unidade/descrição completa no PDF.</x:v>
      </x:c>
      <x:c r="M126" s="11" t="str">
        <x:v>DOC-0003</x:v>
      </x:c>
      <x:c r="N126" s="11" t="n">
        <x:f>H126*I126</x:f>
        <x:v>1523.75</x:v>
      </x:c>
      <x:c r="O126" s="11" t="n">
        <x:f>ROUND(N126-J126,2)</x:f>
        <x:v>0</x:v>
      </x:c>
    </x:row>
    <x:row r="127" ht="84" customHeight="1">
      <x:c r="A127" s="8" t="str">
        <x:v>ED-0003</x:v>
      </x:c>
      <x:c r="B127" s="8" t="str">
        <x:v>Diamantino</x:v>
      </x:c>
      <x:c r="C127" s="8" t="str">
        <x:v>Santo Afonso</x:v>
      </x:c>
      <x:c r="D127" s="8" t="n">
        <x:v>47</x:v>
      </x:c>
      <x:c r="E127" s="8" t="str">
        <x:v>de podridões e amarelados</x:v>
      </x:c>
      <x:c r="F127" s="8" t="str">
        <x:v>de podridões e amarelados, não se</x:v>
      </x:c>
      <x:c r="G127" s="8" t="str">
        <x:v>Quilograma</x:v>
      </x:c>
      <x:c r="H127" s="11" t="n">
        <x:v>42</x:v>
      </x:c>
      <x:c r="I127" s="11" t="n">
        <x:v>22.87</x:v>
      </x:c>
      <x:c r="J127" s="11" t="n">
        <x:v>960.54</x:v>
      </x:c>
      <x:c r="K127" s="11" t="n">
        <x:v>21</x:v>
      </x:c>
      <x:c r="L127" s="11" t="str">
        <x:v>Extração parcial do início da descrição; conferir unidade/descrição completa no PDF.</x:v>
      </x:c>
      <x:c r="M127" s="11" t="str">
        <x:v>DOC-0003</x:v>
      </x:c>
      <x:c r="N127" s="11" t="n">
        <x:f>H127*I127</x:f>
        <x:v>960.5400000000001</x:v>
      </x:c>
      <x:c r="O127" s="11" t="n">
        <x:f>ROUND(N127-J127,2)</x:f>
        <x:v>0</x:v>
      </x:c>
    </x:row>
    <x:row r="128" ht="84" customHeight="1">
      <x:c r="A128" s="8" t="str">
        <x:v>ED-0004</x:v>
      </x:c>
      <x:c r="B128" s="8" t="str">
        <x:v>Diamantino</x:v>
      </x:c>
      <x:c r="C128" s="8" t="str">
        <x:v>Nova Marilândia</x:v>
      </x:c>
      <x:c r="D128" s="8" t="n">
        <x:v>1</x:v>
      </x:c>
      <x:c r="E128" s="8" t="str">
        <x:v>ABACAXI PÉROLA</x:v>
      </x:c>
      <x:c r="F128" s="8" t="str">
        <x:v>ABACAXI PÉROLA, inteiro,</x:v>
      </x:c>
      <x:c r="G128" s="8" t="str">
        <x:v>Quilograma</x:v>
      </x:c>
      <x:c r="H128" s="11" t="n">
        <x:v>113</x:v>
      </x:c>
      <x:c r="I128" s="11" t="n">
        <x:v>11.93</x:v>
      </x:c>
      <x:c r="J128" s="11" t="n">
        <x:v>1348.09</x:v>
      </x:c>
      <x:c r="K128" s="11" t="n">
        <x:v>3</x:v>
      </x:c>
      <x:c r="L128" s="11" t="str">
        <x:v>Extração parcial do início da descrição; conferir unidade/descrição completa no PDF.</x:v>
      </x:c>
      <x:c r="M128" s="11" t="str">
        <x:v>DOC-0004</x:v>
      </x:c>
      <x:c r="N128" s="11" t="n">
        <x:f>H128*I128</x:f>
        <x:v>1348.09</x:v>
      </x:c>
      <x:c r="O128" s="11" t="n">
        <x:f>ROUND(N128-J128,2)</x:f>
        <x:v>0</x:v>
      </x:c>
    </x:row>
    <x:row r="129" ht="84" customHeight="1">
      <x:c r="A129" s="8" t="str">
        <x:v>ED-0004</x:v>
      </x:c>
      <x:c r="B129" s="8" t="str">
        <x:v>Diamantino</x:v>
      </x:c>
      <x:c r="C129" s="8" t="str">
        <x:v>Nova Marilândia</x:v>
      </x:c>
      <x:c r="D129" s="8" t="n">
        <x:v>2</x:v>
      </x:c>
      <x:c r="E129" s="8" t="str">
        <x:v>ABÓBORA              CABOTIÃ</x:v>
      </x:c>
      <x:c r="F129" s="8" t="str">
        <x:v>ABÓBORA              CABOTIÃ,</x:v>
      </x:c>
      <x:c r="G129" s="8" t="str">
        <x:v>Quilograma</x:v>
      </x:c>
      <x:c r="H129" s="11" t="n">
        <x:v>85</x:v>
      </x:c>
      <x:c r="I129" s="11" t="n">
        <x:v>5.65</x:v>
      </x:c>
      <x:c r="J129" s="11" t="n">
        <x:v>480.25</x:v>
      </x:c>
      <x:c r="K129" s="11" t="n">
        <x:v>3</x:v>
      </x:c>
      <x:c r="L129" s="11" t="str">
        <x:v>Extração parcial do início da descrição; conferir unidade/descrição completa no PDF.</x:v>
      </x:c>
      <x:c r="M129" s="11" t="str">
        <x:v>DOC-0004</x:v>
      </x:c>
      <x:c r="N129" s="11" t="n">
        <x:f>H129*I129</x:f>
        <x:v>480.25000000000006</x:v>
      </x:c>
      <x:c r="O129" s="11" t="n">
        <x:f>ROUND(N129-J129,2)</x:f>
        <x:v>0</x:v>
      </x:c>
    </x:row>
    <x:row r="130" ht="84" customHeight="1">
      <x:c r="A130" s="8" t="str">
        <x:v>ED-0004</x:v>
      </x:c>
      <x:c r="B130" s="8" t="str">
        <x:v>Diamantino</x:v>
      </x:c>
      <x:c r="C130" s="8" t="str">
        <x:v>Nova Marilândia</x:v>
      </x:c>
      <x:c r="D130" s="8" t="n">
        <x:v>5</x:v>
      </x:c>
      <x:c r="E130" s="8" t="str">
        <x:v>AGRIÃO</x:v>
      </x:c>
      <x:c r="F130" s="8" t="str">
        <x:v>AGRIÃO, com folhas inteiras,</x:v>
      </x:c>
      <x:c r="G130" s="8" t="str">
        <x:v>Quilograma</x:v>
      </x:c>
      <x:c r="H130" s="11" t="n">
        <x:v>42</x:v>
      </x:c>
      <x:c r="I130" s="11" t="n">
        <x:v>34.98</x:v>
      </x:c>
      <x:c r="J130" s="11" t="n">
        <x:v>1469.16</x:v>
      </x:c>
      <x:c r="K130" s="11" t="n">
        <x:v>4</x:v>
      </x:c>
      <x:c r="L130" s="11" t="str">
        <x:v>Extração parcial do início da descrição; conferir unidade/descrição completa no PDF.</x:v>
      </x:c>
      <x:c r="M130" s="11" t="str">
        <x:v>DOC-0004</x:v>
      </x:c>
      <x:c r="N130" s="11" t="n">
        <x:f>H130*I130</x:f>
        <x:v>1469.1599999999999</x:v>
      </x:c>
      <x:c r="O130" s="11" t="n">
        <x:f>ROUND(N130-J130,2)</x:f>
        <x:v>0</x:v>
      </x:c>
    </x:row>
    <x:row r="131" ht="84" customHeight="1">
      <x:c r="A131" s="8" t="str">
        <x:v>ED-0004</x:v>
      </x:c>
      <x:c r="B131" s="8" t="str">
        <x:v>Diamantino</x:v>
      </x:c>
      <x:c r="C131" s="8" t="str">
        <x:v>Nova Marilândia</x:v>
      </x:c>
      <x:c r="D131" s="8" t="n">
        <x:v>6</x:v>
      </x:c>
      <x:c r="E131" s="8" t="str">
        <x:v>ALFACE CRESPA</x:v>
      </x:c>
      <x:c r="F131" s="8" t="str">
        <x:v>ALFACE CRESPA, com</x:v>
      </x:c>
      <x:c r="G131" s="8" t="str">
        <x:v>Quilograma</x:v>
      </x:c>
      <x:c r="H131" s="11" t="n">
        <x:v>240</x:v>
      </x:c>
      <x:c r="I131" s="11" t="n">
        <x:v>27.34</x:v>
      </x:c>
      <x:c r="J131" s="11" t="n">
        <x:v>6561.6</x:v>
      </x:c>
      <x:c r="K131" s="11" t="n">
        <x:v>4</x:v>
      </x:c>
      <x:c r="L131" s="11" t="str">
        <x:v>Extração parcial do início da descrição; conferir unidade/descrição completa no PDF.</x:v>
      </x:c>
      <x:c r="M131" s="11" t="str">
        <x:v>DOC-0004</x:v>
      </x:c>
      <x:c r="N131" s="11" t="n">
        <x:f>H131*I131</x:f>
        <x:v>6561.6</x:v>
      </x:c>
      <x:c r="O131" s="11" t="n">
        <x:f>ROUND(N131-J131,2)</x:f>
        <x:v>0</x:v>
      </x:c>
    </x:row>
    <x:row r="132" ht="84" customHeight="1">
      <x:c r="A132" s="8" t="str">
        <x:v>ED-0004</x:v>
      </x:c>
      <x:c r="B132" s="8" t="str">
        <x:v>Diamantino</x:v>
      </x:c>
      <x:c r="C132" s="8" t="str">
        <x:v>Nova Marilândia</x:v>
      </x:c>
      <x:c r="D132" s="8" t="n">
        <x:v>7</x:v>
      </x:c>
      <x:c r="E132" s="8" t="str">
        <x:v>ALMEIRÃO</x:v>
      </x:c>
      <x:c r="F132" s="8" t="str">
        <x:v>ALMEIRÃO, com folhas</x:v>
      </x:c>
      <x:c r="G132" s="8" t="str">
        <x:v>Quilograma</x:v>
      </x:c>
      <x:c r="H132" s="11" t="n">
        <x:v>82</x:v>
      </x:c>
      <x:c r="I132" s="11" t="n">
        <x:v>29.68</x:v>
      </x:c>
      <x:c r="J132" s="11" t="n">
        <x:v>2433.76</x:v>
      </x:c>
      <x:c r="K132" s="11" t="n">
        <x:v>5</x:v>
      </x:c>
      <x:c r="L132" s="11" t="str">
        <x:v>Extração parcial do início da descrição; conferir unidade/descrição completa no PDF.</x:v>
      </x:c>
      <x:c r="M132" s="11" t="str">
        <x:v>DOC-0004</x:v>
      </x:c>
      <x:c r="N132" s="11" t="n">
        <x:f>H132*I132</x:f>
        <x:v>2433.7599999999998</x:v>
      </x:c>
      <x:c r="O132" s="11" t="n">
        <x:f>ROUND(N132-J132,2)</x:f>
        <x:v>0</x:v>
      </x:c>
    </x:row>
    <x:row r="133" ht="84" customHeight="1">
      <x:c r="A133" s="8" t="str">
        <x:v>ED-0004</x:v>
      </x:c>
      <x:c r="B133" s="8" t="str">
        <x:v>Diamantino</x:v>
      </x:c>
      <x:c r="C133" s="8" t="str">
        <x:v>Nova Marilândia</x:v>
      </x:c>
      <x:c r="D133" s="8" t="n">
        <x:v>8</x:v>
      </x:c>
      <x:c r="E133" s="8" t="str">
        <x:v>BANANA          DA      TERRA</x:v>
      </x:c>
      <x:c r="F133" s="8" t="str">
        <x:v>BANANA          DA      TERRA,</x:v>
      </x:c>
      <x:c r="G133" s="8" t="str">
        <x:v>Quilograma</x:v>
      </x:c>
      <x:c r="H133" s="11" t="n">
        <x:v>99</x:v>
      </x:c>
      <x:c r="I133" s="11" t="n">
        <x:v>11.13</x:v>
      </x:c>
      <x:c r="J133" s="11" t="n">
        <x:v>1101.87</x:v>
      </x:c>
      <x:c r="K133" s="11" t="n">
        <x:v>5</x:v>
      </x:c>
      <x:c r="L133" s="11" t="str">
        <x:v>Extração parcial do início da descrição; conferir unidade/descrição completa no PDF.</x:v>
      </x:c>
      <x:c r="M133" s="11" t="str">
        <x:v>DOC-0004</x:v>
      </x:c>
      <x:c r="N133" s="11" t="n">
        <x:f>H133*I133</x:f>
        <x:v>1101.8700000000001</x:v>
      </x:c>
      <x:c r="O133" s="11" t="n">
        <x:f>ROUND(N133-J133,2)</x:f>
        <x:v>0</x:v>
      </x:c>
    </x:row>
    <x:row r="134" ht="84" customHeight="1">
      <x:c r="A134" s="8" t="str">
        <x:v>ED-0004</x:v>
      </x:c>
      <x:c r="B134" s="8" t="str">
        <x:v>Diamantino</x:v>
      </x:c>
      <x:c r="C134" s="8" t="str">
        <x:v>Nova Marilândia</x:v>
      </x:c>
      <x:c r="D134" s="8" t="n">
        <x:v>9</x:v>
      </x:c>
      <x:c r="E134" s="8" t="str">
        <x:v>BANANA NANICA</x:v>
      </x:c>
      <x:c r="F134" s="8" t="str">
        <x:v>BANANA NANICA, inteira,</x:v>
      </x:c>
      <x:c r="G134" s="8" t="str">
        <x:v>Quilograma</x:v>
      </x:c>
      <x:c r="H134" s="11" t="n">
        <x:v>452</x:v>
      </x:c>
      <x:c r="I134" s="11" t="n">
        <x:v>8.11</x:v>
      </x:c>
      <x:c r="J134" s="11" t="n">
        <x:v>3665.72</x:v>
      </x:c>
      <x:c r="K134" s="11" t="n">
        <x:v>6</x:v>
      </x:c>
      <x:c r="L134" s="11" t="str">
        <x:v>Extração parcial do início da descrição; conferir unidade/descrição completa no PDF.</x:v>
      </x:c>
      <x:c r="M134" s="11" t="str">
        <x:v>DOC-0004</x:v>
      </x:c>
      <x:c r="N134" s="11" t="n">
        <x:f>H134*I134</x:f>
        <x:v>3665.72</x:v>
      </x:c>
      <x:c r="O134" s="11" t="n">
        <x:f>ROUND(N134-J134,2)</x:f>
        <x:v>0</x:v>
      </x:c>
    </x:row>
    <x:row r="135" ht="84" customHeight="1">
      <x:c r="A135" s="8" t="str">
        <x:v>ED-0004</x:v>
      </x:c>
      <x:c r="B135" s="8" t="str">
        <x:v>Diamantino</x:v>
      </x:c>
      <x:c r="C135" s="8" t="str">
        <x:v>Nova Marilândia</x:v>
      </x:c>
      <x:c r="D135" s="8" t="n">
        <x:v>10</x:v>
      </x:c>
      <x:c r="E135" s="8" t="str">
        <x:v>BATATA DOCE</x:v>
      </x:c>
      <x:c r="F135" s="8" t="str">
        <x:v>BATATA DOCE, inteira, livre</x:v>
      </x:c>
      <x:c r="G135" s="8" t="str">
        <x:v>Quilograma</x:v>
      </x:c>
      <x:c r="H135" s="11" t="n">
        <x:v>42</x:v>
      </x:c>
      <x:c r="I135" s="11" t="n">
        <x:v>6.26</x:v>
      </x:c>
      <x:c r="J135" s="11" t="n">
        <x:v>262.92</x:v>
      </x:c>
      <x:c r="K135" s="11" t="n">
        <x:v>6</x:v>
      </x:c>
      <x:c r="L135" s="11" t="str">
        <x:v>Extração parcial do início da descrição; conferir unidade/descrição completa no PDF.</x:v>
      </x:c>
      <x:c r="M135" s="11" t="str">
        <x:v>DOC-0004</x:v>
      </x:c>
      <x:c r="N135" s="11" t="n">
        <x:f>H135*I135</x:f>
        <x:v>262.92</x:v>
      </x:c>
      <x:c r="O135" s="11" t="n">
        <x:f>ROUND(N135-J135,2)</x:f>
        <x:v>0</x:v>
      </x:c>
    </x:row>
    <x:row r="136" ht="84" customHeight="1">
      <x:c r="A136" s="8" t="str">
        <x:v>ED-0004</x:v>
      </x:c>
      <x:c r="B136" s="8" t="str">
        <x:v>Diamantino</x:v>
      </x:c>
      <x:c r="C136" s="8" t="str">
        <x:v>Nova Marilândia</x:v>
      </x:c>
      <x:c r="D136" s="8" t="n">
        <x:v>11</x:v>
      </x:c>
      <x:c r="E136" s="8" t="str">
        <x:v>BEBIDA                 LÁCTEA</x:v>
      </x:c>
      <x:c r="F136" s="8" t="str">
        <x:v>BEBIDA                 LÁCTEA</x:v>
      </x:c>
      <x:c r="G136" s="8" t="str">
        <x:v>Unidade de</x:v>
      </x:c>
      <x:c r="H136" s="11" t="n">
        <x:v>242</x:v>
      </x:c>
      <x:c r="I136" s="11" t="n">
        <x:v>11.4</x:v>
      </x:c>
      <x:c r="J136" s="11" t="n">
        <x:v>2758.8</x:v>
      </x:c>
      <x:c r="K136" s="11" t="n">
        <x:v>6</x:v>
      </x:c>
      <x:c r="L136" s="11" t="str">
        <x:v>Extração parcial do início da descrição; conferir unidade/descrição completa no PDF.</x:v>
      </x:c>
      <x:c r="M136" s="11" t="str">
        <x:v>DOC-0004</x:v>
      </x:c>
      <x:c r="N136" s="11" t="n">
        <x:f>H136*I136</x:f>
        <x:v>2758.8</x:v>
      </x:c>
      <x:c r="O136" s="11" t="n">
        <x:f>ROUND(N136-J136,2)</x:f>
        <x:v>0</x:v>
      </x:c>
    </x:row>
    <x:row r="137" ht="84" customHeight="1">
      <x:c r="A137" s="8" t="str">
        <x:v>ED-0004</x:v>
      </x:c>
      <x:c r="B137" s="8" t="str">
        <x:v>Diamantino</x:v>
      </x:c>
      <x:c r="C137" s="8" t="str">
        <x:v>Nova Marilândia</x:v>
      </x:c>
      <x:c r="D137" s="8" t="n">
        <x:v>12</x:v>
      </x:c>
      <x:c r="E137" s="8" t="str">
        <x:v>BETERRABA</x:v>
      </x:c>
      <x:c r="F137" s="8" t="str">
        <x:v>BETERRABA, inteira, livre de</x:v>
      </x:c>
      <x:c r="G137" s="8" t="str">
        <x:v>Quilograma</x:v>
      </x:c>
      <x:c r="H137" s="11" t="n">
        <x:v>42</x:v>
      </x:c>
      <x:c r="I137" s="11" t="n">
        <x:v>7.58</x:v>
      </x:c>
      <x:c r="J137" s="11" t="n">
        <x:v>318.36</x:v>
      </x:c>
      <x:c r="K137" s="11" t="n">
        <x:v>7</x:v>
      </x:c>
      <x:c r="L137" s="11" t="str">
        <x:v>Extração parcial do início da descrição; conferir unidade/descrição completa no PDF.</x:v>
      </x:c>
      <x:c r="M137" s="11" t="str">
        <x:v>DOC-0004</x:v>
      </x:c>
      <x:c r="N137" s="11" t="n">
        <x:f>H137*I137</x:f>
        <x:v>318.36</x:v>
      </x:c>
      <x:c r="O137" s="11" t="n">
        <x:f>ROUND(N137-J137,2)</x:f>
        <x:v>0</x:v>
      </x:c>
    </x:row>
    <x:row r="138" ht="84" customHeight="1">
      <x:c r="A138" s="8" t="str">
        <x:v>ED-0004</x:v>
      </x:c>
      <x:c r="B138" s="8" t="str">
        <x:v>Diamantino</x:v>
      </x:c>
      <x:c r="C138" s="8" t="str">
        <x:v>Nova Marilândia</x:v>
      </x:c>
      <x:c r="D138" s="8" t="n">
        <x:v>13</x:v>
      </x:c>
      <x:c r="E138" s="8" t="str">
        <x:v>CAFÉ         TORRADO           E</x:v>
      </x:c>
      <x:c r="F138" s="8" t="str">
        <x:v>CAFÉ         TORRADO           E</x:v>
      </x:c>
      <x:c r="G138" s="8" t="str">
        <x:v>Unidade de</x:v>
      </x:c>
      <x:c r="H138" s="11" t="n">
        <x:v>28</x:v>
      </x:c>
      <x:c r="I138" s="11" t="n">
        <x:v>23.72</x:v>
      </x:c>
      <x:c r="J138" s="11" t="n">
        <x:v>664.16</x:v>
      </x:c>
      <x:c r="K138" s="11" t="n">
        <x:v>7</x:v>
      </x:c>
      <x:c r="L138" s="11" t="str">
        <x:v>Extração parcial do início da descrição; conferir unidade/descrição completa no PDF.</x:v>
      </x:c>
      <x:c r="M138" s="11" t="str">
        <x:v>DOC-0004</x:v>
      </x:c>
      <x:c r="N138" s="11" t="n">
        <x:f>H138*I138</x:f>
        <x:v>664.16</x:v>
      </x:c>
      <x:c r="O138" s="11" t="n">
        <x:f>ROUND(N138-J138,2)</x:f>
        <x:v>0</x:v>
      </x:c>
    </x:row>
    <x:row r="139" ht="84" customHeight="1">
      <x:c r="A139" s="8" t="str">
        <x:v>ED-0004</x:v>
      </x:c>
      <x:c r="B139" s="8" t="str">
        <x:v>Diamantino</x:v>
      </x:c>
      <x:c r="C139" s="8" t="str">
        <x:v>Nova Marilândia</x:v>
      </x:c>
      <x:c r="D139" s="8" t="n">
        <x:v>14</x:v>
      </x:c>
      <x:c r="E139" s="8" t="str">
        <x:v>CEBOLINHA</x:v>
      </x:c>
      <x:c r="F139" s="8" t="str">
        <x:v>CEBOLINHA, verde, com</x:v>
      </x:c>
      <x:c r="G139" s="8" t="str">
        <x:v>Quilograma</x:v>
      </x:c>
      <x:c r="H139" s="11" t="n">
        <x:v>50</x:v>
      </x:c>
      <x:c r="I139" s="11" t="n">
        <x:v>29.5</x:v>
      </x:c>
      <x:c r="J139" s="11" t="n">
        <x:v>1475</x:v>
      </x:c>
      <x:c r="K139" s="11" t="n">
        <x:v>8</x:v>
      </x:c>
      <x:c r="L139" s="11" t="str">
        <x:v>Extração parcial do início da descrição; conferir unidade/descrição completa no PDF.</x:v>
      </x:c>
      <x:c r="M139" s="11" t="str">
        <x:v>DOC-0004</x:v>
      </x:c>
      <x:c r="N139" s="11" t="n">
        <x:f>H139*I139</x:f>
        <x:v>1475</x:v>
      </x:c>
      <x:c r="O139" s="11" t="n">
        <x:f>ROUND(N139-J139,2)</x:f>
        <x:v>0</x:v>
      </x:c>
    </x:row>
    <x:row r="140" ht="84" customHeight="1">
      <x:c r="A140" s="8" t="str">
        <x:v>ED-0004</x:v>
      </x:c>
      <x:c r="B140" s="8" t="str">
        <x:v>Diamantino</x:v>
      </x:c>
      <x:c r="C140" s="8" t="str">
        <x:v>Nova Marilândia</x:v>
      </x:c>
      <x:c r="D140" s="8" t="n">
        <x:v>15</x:v>
      </x:c>
      <x:c r="E140" s="8" t="str">
        <x:v>CENOURA</x:v>
      </x:c>
      <x:c r="F140" s="8" t="str">
        <x:v>CENOURA, inteira, livre de</x:v>
      </x:c>
      <x:c r="G140" s="8" t="str">
        <x:v>Quilograma</x:v>
      </x:c>
      <x:c r="H140" s="11" t="n">
        <x:v>214</x:v>
      </x:c>
      <x:c r="I140" s="11" t="n">
        <x:v>8.98</x:v>
      </x:c>
      <x:c r="J140" s="11" t="n">
        <x:v>1921.72</x:v>
      </x:c>
      <x:c r="K140" s="11" t="n">
        <x:v>8</x:v>
      </x:c>
      <x:c r="L140" s="11" t="str">
        <x:v>Extração parcial do início da descrição; conferir unidade/descrição completa no PDF.</x:v>
      </x:c>
      <x:c r="M140" s="11" t="str">
        <x:v>DOC-0004</x:v>
      </x:c>
      <x:c r="N140" s="11" t="n">
        <x:f>H140*I140</x:f>
        <x:v>1921.72</x:v>
      </x:c>
      <x:c r="O140" s="11" t="n">
        <x:f>ROUND(N140-J140,2)</x:f>
        <x:v>0</x:v>
      </x:c>
    </x:row>
    <x:row r="141" ht="84" customHeight="1">
      <x:c r="A141" s="8" t="str">
        <x:v>ED-0004</x:v>
      </x:c>
      <x:c r="B141" s="8" t="str">
        <x:v>Diamantino</x:v>
      </x:c>
      <x:c r="C141" s="8" t="str">
        <x:v>Nova Marilândia</x:v>
      </x:c>
      <x:c r="D141" s="8" t="n">
        <x:v>16</x:v>
      </x:c>
      <x:c r="E141" s="8" t="str">
        <x:v>COENTRO</x:v>
      </x:c>
      <x:c r="F141" s="8" t="str">
        <x:v>COENTRO, com talos e folhas</x:v>
      </x:c>
      <x:c r="G141" s="8" t="str">
        <x:v>Quilograma</x:v>
      </x:c>
      <x:c r="H141" s="11" t="n">
        <x:v>4</x:v>
      </x:c>
      <x:c r="I141" s="11" t="n">
        <x:v>34.06</x:v>
      </x:c>
      <x:c r="J141" s="11" t="n">
        <x:v>136.24</x:v>
      </x:c>
      <x:c r="K141" s="11" t="n">
        <x:v>8</x:v>
      </x:c>
      <x:c r="L141" s="11" t="str">
        <x:v>Extração parcial do início da descrição; conferir unidade/descrição completa no PDF.</x:v>
      </x:c>
      <x:c r="M141" s="11" t="str">
        <x:v>DOC-0004</x:v>
      </x:c>
      <x:c r="N141" s="11" t="n">
        <x:f>H141*I141</x:f>
        <x:v>136.24</x:v>
      </x:c>
      <x:c r="O141" s="11" t="n">
        <x:f>ROUND(N141-J141,2)</x:f>
        <x:v>0</x:v>
      </x:c>
    </x:row>
    <x:row r="142" ht="84" customHeight="1">
      <x:c r="A142" s="8" t="str">
        <x:v>ED-0004</x:v>
      </x:c>
      <x:c r="B142" s="8" t="str">
        <x:v>Diamantino</x:v>
      </x:c>
      <x:c r="C142" s="8" t="str">
        <x:v>Nova Marilândia</x:v>
      </x:c>
      <x:c r="D142" s="8" t="n">
        <x:v>18</x:v>
      </x:c>
      <x:c r="E142" s="8" t="str">
        <x:v>COUVE</x:v>
      </x:c>
      <x:c r="F142" s="8" t="str">
        <x:v>COUVE, manteiga com folhas</x:v>
      </x:c>
      <x:c r="G142" s="8" t="str">
        <x:v>Quilograma</x:v>
      </x:c>
      <x:c r="H142" s="11" t="n">
        <x:v>224</x:v>
      </x:c>
      <x:c r="I142" s="11" t="n">
        <x:v>28.48</x:v>
      </x:c>
      <x:c r="J142" s="11" t="n">
        <x:v>6379.52</x:v>
      </x:c>
      <x:c r="K142" s="11" t="n">
        <x:v>9</x:v>
      </x:c>
      <x:c r="L142" s="11" t="str">
        <x:v>Extração parcial do início da descrição; conferir unidade/descrição completa no PDF.</x:v>
      </x:c>
      <x:c r="M142" s="11" t="str">
        <x:v>DOC-0004</x:v>
      </x:c>
      <x:c r="N142" s="11" t="n">
        <x:f>H142*I142</x:f>
        <x:v>6379.52</x:v>
      </x:c>
      <x:c r="O142" s="11" t="n">
        <x:f>ROUND(N142-J142,2)</x:f>
        <x:v>0</x:v>
      </x:c>
    </x:row>
    <x:row r="143" ht="84" customHeight="1">
      <x:c r="A143" s="8" t="str">
        <x:v>ED-0004</x:v>
      </x:c>
      <x:c r="B143" s="8" t="str">
        <x:v>Diamantino</x:v>
      </x:c>
      <x:c r="C143" s="8" t="str">
        <x:v>Nova Marilândia</x:v>
      </x:c>
      <x:c r="D143" s="8" t="n">
        <x:v>19</x:v>
      </x:c>
      <x:c r="E143" s="8" t="str">
        <x:v>FARINHA DE MANDIOCA</x:v>
      </x:c>
      <x:c r="F143" s="8" t="str">
        <x:v>FARINHA DE MANDIOCA,</x:v>
      </x:c>
      <x:c r="G143" s="8" t="str">
        <x:v>Unidade de</x:v>
      </x:c>
      <x:c r="H143" s="11" t="n">
        <x:v>85</x:v>
      </x:c>
      <x:c r="I143" s="11" t="n">
        <x:v>9.34</x:v>
      </x:c>
      <x:c r="J143" s="11" t="n">
        <x:v>793.9</x:v>
      </x:c>
      <x:c r="K143" s="11" t="n">
        <x:v>10</x:v>
      </x:c>
      <x:c r="L143" s="11" t="str">
        <x:v>Extração parcial do início da descrição; conferir unidade/descrição completa no PDF.</x:v>
      </x:c>
      <x:c r="M143" s="11" t="str">
        <x:v>DOC-0004</x:v>
      </x:c>
      <x:c r="N143" s="11" t="n">
        <x:f>H143*I143</x:f>
        <x:v>793.9</x:v>
      </x:c>
      <x:c r="O143" s="11" t="n">
        <x:f>ROUND(N143-J143,2)</x:f>
        <x:v>0</x:v>
      </x:c>
    </x:row>
    <x:row r="144" ht="84" customHeight="1">
      <x:c r="A144" s="8" t="str">
        <x:v>ED-0004</x:v>
      </x:c>
      <x:c r="B144" s="8" t="str">
        <x:v>Diamantino</x:v>
      </x:c>
      <x:c r="C144" s="8" t="str">
        <x:v>Nova Marilândia</x:v>
      </x:c>
      <x:c r="D144" s="8" t="n">
        <x:v>20</x:v>
      </x:c>
      <x:c r="E144" s="8" t="str">
        <x:v>INHAME</x:v>
      </x:c>
      <x:c r="F144" s="8" t="str">
        <x:v>INHAME, in natura, tamanho e</x:v>
      </x:c>
      <x:c r="G144" s="8" t="str">
        <x:v>Quilograma</x:v>
      </x:c>
      <x:c r="H144" s="11" t="n">
        <x:v>42</x:v>
      </x:c>
      <x:c r="I144" s="11" t="n">
        <x:v>13.69</x:v>
      </x:c>
      <x:c r="J144" s="11" t="n">
        <x:v>574.98</x:v>
      </x:c>
      <x:c r="K144" s="11" t="n">
        <x:v>10</x:v>
      </x:c>
      <x:c r="L144" s="11" t="str">
        <x:v>Extração parcial do início da descrição; conferir unidade/descrição completa no PDF.</x:v>
      </x:c>
      <x:c r="M144" s="11" t="str">
        <x:v>DOC-0004</x:v>
      </x:c>
      <x:c r="N144" s="11" t="n">
        <x:f>H144*I144</x:f>
        <x:v>574.98</x:v>
      </x:c>
      <x:c r="O144" s="11" t="n">
        <x:f>ROUND(N144-J144,2)</x:f>
        <x:v>0</x:v>
      </x:c>
    </x:row>
    <x:row r="145" ht="84" customHeight="1">
      <x:c r="A145" s="8" t="str">
        <x:v>ED-0004</x:v>
      </x:c>
      <x:c r="B145" s="8" t="str">
        <x:v>Diamantino</x:v>
      </x:c>
      <x:c r="C145" s="8" t="str">
        <x:v>Nova Marilândia</x:v>
      </x:c>
      <x:c r="D145" s="8" t="n">
        <x:v>21</x:v>
      </x:c>
      <x:c r="E145" s="8" t="str">
        <x:v>LARANJA PÊRA</x:v>
      </x:c>
      <x:c r="F145" s="8" t="str">
        <x:v>LARANJA PÊRA, inteira,</x:v>
      </x:c>
      <x:c r="G145" s="8" t="str">
        <x:v>Quilograma</x:v>
      </x:c>
      <x:c r="H145" s="11" t="n">
        <x:v>309</x:v>
      </x:c>
      <x:c r="I145" s="11" t="n">
        <x:v>7.24</x:v>
      </x:c>
      <x:c r="J145" s="11" t="n">
        <x:v>2237.16</x:v>
      </x:c>
      <x:c r="K145" s="11" t="n">
        <x:v>11</x:v>
      </x:c>
      <x:c r="L145" s="11" t="str">
        <x:v>Extração parcial do início da descrição; conferir unidade/descrição completa no PDF.</x:v>
      </x:c>
      <x:c r="M145" s="11" t="str">
        <x:v>DOC-0004</x:v>
      </x:c>
      <x:c r="N145" s="11" t="n">
        <x:f>H145*I145</x:f>
        <x:v>2237.16</x:v>
      </x:c>
      <x:c r="O145" s="11" t="n">
        <x:f>ROUND(N145-J145,2)</x:f>
        <x:v>0</x:v>
      </x:c>
    </x:row>
    <x:row r="146" ht="84" customHeight="1">
      <x:c r="A146" s="8" t="str">
        <x:v>ED-0004</x:v>
      </x:c>
      <x:c r="B146" s="8" t="str">
        <x:v>Diamantino</x:v>
      </x:c>
      <x:c r="C146" s="8" t="str">
        <x:v>Nova Marilândia</x:v>
      </x:c>
      <x:c r="D146" s="8" t="n">
        <x:v>23</x:v>
      </x:c>
      <x:c r="E146" s="8" t="str">
        <x:v>LIMÃO TAHITI</x:v>
      </x:c>
      <x:c r="F146" s="8" t="str">
        <x:v>LIMÃO TAHITI, inteiro, livre</x:v>
      </x:c>
      <x:c r="G146" s="8" t="str">
        <x:v>Quilograma</x:v>
      </x:c>
      <x:c r="H146" s="11" t="n">
        <x:v>65</x:v>
      </x:c>
      <x:c r="I146" s="11" t="n">
        <x:v>12.65</x:v>
      </x:c>
      <x:c r="J146" s="11" t="n">
        <x:v>822.25</x:v>
      </x:c>
      <x:c r="K146" s="11" t="n">
        <x:v>11</x:v>
      </x:c>
      <x:c r="L146" s="11" t="str">
        <x:v>Extração parcial do início da descrição; conferir unidade/descrição completa no PDF.</x:v>
      </x:c>
      <x:c r="M146" s="11" t="str">
        <x:v>DOC-0004</x:v>
      </x:c>
      <x:c r="N146" s="11" t="n">
        <x:f>H146*I146</x:f>
        <x:v>822.25</x:v>
      </x:c>
      <x:c r="O146" s="11" t="n">
        <x:f>ROUND(N146-J146,2)</x:f>
        <x:v>0</x:v>
      </x:c>
    </x:row>
    <x:row r="147" ht="84" customHeight="1">
      <x:c r="A147" s="8" t="str">
        <x:v>ED-0004</x:v>
      </x:c>
      <x:c r="B147" s="8" t="str">
        <x:v>Diamantino</x:v>
      </x:c>
      <x:c r="C147" s="8" t="str">
        <x:v>Nova Marilândia</x:v>
      </x:c>
      <x:c r="D147" s="8" t="n">
        <x:v>24</x:v>
      </x:c>
      <x:c r="E147" s="8" t="str">
        <x:v>MAMÃO FORMOSA</x:v>
      </x:c>
      <x:c r="F147" s="8" t="str">
        <x:v>MAMÃO FORMOSA, livre</x:v>
      </x:c>
      <x:c r="G147" s="8" t="str">
        <x:v>Quilograma</x:v>
      </x:c>
      <x:c r="H147" s="11" t="n">
        <x:v>348</x:v>
      </x:c>
      <x:c r="I147" s="11" t="n">
        <x:v>12.51</x:v>
      </x:c>
      <x:c r="J147" s="11" t="n">
        <x:v>4353.48</x:v>
      </x:c>
      <x:c r="K147" s="11" t="n">
        <x:v>12</x:v>
      </x:c>
      <x:c r="L147" s="11" t="str">
        <x:v>Extração parcial do início da descrição; conferir unidade/descrição completa no PDF.</x:v>
      </x:c>
      <x:c r="M147" s="11" t="str">
        <x:v>DOC-0004</x:v>
      </x:c>
      <x:c r="N147" s="11" t="n">
        <x:f>H147*I147</x:f>
        <x:v>4353.48</x:v>
      </x:c>
      <x:c r="O147" s="11" t="n">
        <x:f>ROUND(N147-J147,2)</x:f>
        <x:v>0</x:v>
      </x:c>
    </x:row>
    <x:row r="148" ht="84" customHeight="1">
      <x:c r="A148" s="8" t="str">
        <x:v>ED-0004</x:v>
      </x:c>
      <x:c r="B148" s="8" t="str">
        <x:v>Diamantino</x:v>
      </x:c>
      <x:c r="C148" s="8" t="str">
        <x:v>Nova Marilândia</x:v>
      </x:c>
      <x:c r="D148" s="8" t="n">
        <x:v>25</x:v>
      </x:c>
      <x:c r="E148" s="8" t="str">
        <x:v>MANDIOCA DESCASCADA</x:v>
      </x:c>
      <x:c r="F148" s="8" t="str">
        <x:v>MANDIOCA DESCASCADA</x:v>
      </x:c>
      <x:c r="G148" s="8" t="str">
        <x:v>Unidade de</x:v>
      </x:c>
      <x:c r="H148" s="11" t="n">
        <x:v>112</x:v>
      </x:c>
      <x:c r="I148" s="11" t="n">
        <x:v>12.78</x:v>
      </x:c>
      <x:c r="J148" s="11" t="n">
        <x:v>1431.36</x:v>
      </x:c>
      <x:c r="K148" s="11" t="n">
        <x:v>12</x:v>
      </x:c>
      <x:c r="L148" s="11" t="str">
        <x:v>Extração parcial do início da descrição; conferir unidade/descrição completa no PDF.</x:v>
      </x:c>
      <x:c r="M148" s="11" t="str">
        <x:v>DOC-0004</x:v>
      </x:c>
      <x:c r="N148" s="11" t="n">
        <x:f>H148*I148</x:f>
        <x:v>1431.36</x:v>
      </x:c>
      <x:c r="O148" s="11" t="n">
        <x:f>ROUND(N148-J148,2)</x:f>
        <x:v>0</x:v>
      </x:c>
    </x:row>
    <x:row r="149" ht="84" customHeight="1">
      <x:c r="A149" s="8" t="str">
        <x:v>ED-0004</x:v>
      </x:c>
      <x:c r="B149" s="8" t="str">
        <x:v>Diamantino</x:v>
      </x:c>
      <x:c r="C149" s="8" t="str">
        <x:v>Nova Marilândia</x:v>
      </x:c>
      <x:c r="D149" s="8" t="n">
        <x:v>26</x:v>
      </x:c>
      <x:c r="E149" s="8" t="str">
        <x:v>MANTEIGA PURA COM</x:v>
      </x:c>
      <x:c r="F149" s="8" t="str">
        <x:v>MANTEIGA PURA COM</x:v>
      </x:c>
      <x:c r="G149" s="8" t="str">
        <x:v>Unidade de</x:v>
      </x:c>
      <x:c r="H149" s="11" t="n">
        <x:v>117</x:v>
      </x:c>
      <x:c r="I149" s="11" t="n">
        <x:v>33.49</x:v>
      </x:c>
      <x:c r="J149" s="11" t="n">
        <x:v>3918.33</x:v>
      </x:c>
      <x:c r="K149" s="11" t="n">
        <x:v>13</x:v>
      </x:c>
      <x:c r="L149" s="11" t="str">
        <x:v>Extração parcial do início da descrição; conferir unidade/descrição completa no PDF.</x:v>
      </x:c>
      <x:c r="M149" s="11" t="str">
        <x:v>DOC-0004</x:v>
      </x:c>
      <x:c r="N149" s="11" t="n">
        <x:f>H149*I149</x:f>
        <x:v>3918.3300000000004</x:v>
      </x:c>
      <x:c r="O149" s="11" t="n">
        <x:f>ROUND(N149-J149,2)</x:f>
        <x:v>0</x:v>
      </x:c>
    </x:row>
    <x:row r="150" ht="84" customHeight="1">
      <x:c r="A150" s="8" t="str">
        <x:v>ED-0004</x:v>
      </x:c>
      <x:c r="B150" s="8" t="str">
        <x:v>Diamantino</x:v>
      </x:c>
      <x:c r="C150" s="8" t="str">
        <x:v>Nova Marilândia</x:v>
      </x:c>
      <x:c r="D150" s="8" t="n">
        <x:v>27</x:v>
      </x:c>
      <x:c r="E150" s="8" t="str">
        <x:v>MELANCIA</x:v>
      </x:c>
      <x:c r="F150" s="8" t="str">
        <x:v>MELANCIA, inteira, livre de</x:v>
      </x:c>
      <x:c r="G150" s="8" t="str">
        <x:v>Quilograma</x:v>
      </x:c>
      <x:c r="H150" s="11" t="n">
        <x:v>170</x:v>
      </x:c>
      <x:c r="I150" s="11" t="n">
        <x:v>4.49</x:v>
      </x:c>
      <x:c r="J150" s="11" t="n">
        <x:v>763.3</x:v>
      </x:c>
      <x:c r="K150" s="11" t="n">
        <x:v>13</x:v>
      </x:c>
      <x:c r="L150" s="11" t="str">
        <x:v>Extração parcial do início da descrição; conferir unidade/descrição completa no PDF.</x:v>
      </x:c>
      <x:c r="M150" s="11" t="str">
        <x:v>DOC-0004</x:v>
      </x:c>
      <x:c r="N150" s="11" t="n">
        <x:f>H150*I150</x:f>
        <x:v>763.3000000000001</x:v>
      </x:c>
      <x:c r="O150" s="11" t="n">
        <x:f>ROUND(N150-J150,2)</x:f>
        <x:v>0</x:v>
      </x:c>
    </x:row>
    <x:row r="151" ht="84" customHeight="1">
      <x:c r="A151" s="8" t="str">
        <x:v>ED-0004</x:v>
      </x:c>
      <x:c r="B151" s="8" t="str">
        <x:v>Diamantino</x:v>
      </x:c>
      <x:c r="C151" s="8" t="str">
        <x:v>Nova Marilândia</x:v>
      </x:c>
      <x:c r="D151" s="8" t="n">
        <x:v>29</x:v>
      </x:c>
      <x:c r="E151" s="8" t="str">
        <x:v>PÃO CASEIRO</x:v>
      </x:c>
      <x:c r="F151" s="8" t="str">
        <x:v>PÃO CASEIRO, de boa</x:v>
      </x:c>
      <x:c r="G151" s="8" t="str">
        <x:v>Quilograma</x:v>
      </x:c>
      <x:c r="H151" s="11" t="n">
        <x:v>113</x:v>
      </x:c>
      <x:c r="I151" s="11" t="n">
        <x:v>24</x:v>
      </x:c>
      <x:c r="J151" s="11" t="n">
        <x:v>2712</x:v>
      </x:c>
      <x:c r="K151" s="11" t="n">
        <x:v>14</x:v>
      </x:c>
      <x:c r="L151" s="11" t="str">
        <x:v>Extração parcial do início da descrição; conferir unidade/descrição completa no PDF.</x:v>
      </x:c>
      <x:c r="M151" s="11" t="str">
        <x:v>DOC-0004</x:v>
      </x:c>
      <x:c r="N151" s="11" t="n">
        <x:f>H151*I151</x:f>
        <x:v>2712</x:v>
      </x:c>
      <x:c r="O151" s="11" t="n">
        <x:f>ROUND(N151-J151,2)</x:f>
        <x:v>0</x:v>
      </x:c>
    </x:row>
    <x:row r="152" ht="84" customHeight="1">
      <x:c r="A152" s="8" t="str">
        <x:v>ED-0004</x:v>
      </x:c>
      <x:c r="B152" s="8" t="str">
        <x:v>Diamantino</x:v>
      </x:c>
      <x:c r="C152" s="8" t="str">
        <x:v>Nova Marilândia</x:v>
      </x:c>
      <x:c r="D152" s="8" t="n">
        <x:v>32</x:v>
      </x:c>
      <x:c r="E152" s="8" t="str">
        <x:v>PEPINO</x:v>
      </x:c>
      <x:c r="F152" s="8" t="str">
        <x:v>PEPINO, inteiro, livre de</x:v>
      </x:c>
      <x:c r="G152" s="8" t="str">
        <x:v>Quilograma</x:v>
      </x:c>
      <x:c r="H152" s="11" t="n">
        <x:v>28</x:v>
      </x:c>
      <x:c r="I152" s="11" t="n">
        <x:v>7.63</x:v>
      </x:c>
      <x:c r="J152" s="11" t="n">
        <x:v>213.64</x:v>
      </x:c>
      <x:c r="K152" s="11" t="n">
        <x:v>16</x:v>
      </x:c>
      <x:c r="L152" s="11" t="str">
        <x:v>Extração parcial do início da descrição; conferir unidade/descrição completa no PDF.</x:v>
      </x:c>
      <x:c r="M152" s="11" t="str">
        <x:v>DOC-0004</x:v>
      </x:c>
      <x:c r="N152" s="11" t="n">
        <x:f>H152*I152</x:f>
        <x:v>213.64</x:v>
      </x:c>
      <x:c r="O152" s="11" t="n">
        <x:f>ROUND(N152-J152,2)</x:f>
        <x:v>0</x:v>
      </x:c>
    </x:row>
    <x:row r="153" ht="84" customHeight="1">
      <x:c r="A153" s="8" t="str">
        <x:v>ED-0004</x:v>
      </x:c>
      <x:c r="B153" s="8" t="str">
        <x:v>Diamantino</x:v>
      </x:c>
      <x:c r="C153" s="8" t="str">
        <x:v>Nova Marilândia</x:v>
      </x:c>
      <x:c r="D153" s="8" t="n">
        <x:v>33</x:v>
      </x:c>
      <x:c r="E153" s="8" t="str">
        <x:v>PIMENTA DE CHEIRO</x:v>
      </x:c>
      <x:c r="F153" s="8" t="str">
        <x:v>PIMENTA DE CHEIRO,</x:v>
      </x:c>
      <x:c r="G153" s="8" t="str">
        <x:v>Quilograma</x:v>
      </x:c>
      <x:c r="H153" s="11" t="n">
        <x:v>18</x:v>
      </x:c>
      <x:c r="I153" s="11" t="n">
        <x:v>45.03</x:v>
      </x:c>
      <x:c r="J153" s="11" t="n">
        <x:v>810.54</x:v>
      </x:c>
      <x:c r="K153" s="11" t="n">
        <x:v>16</x:v>
      </x:c>
      <x:c r="L153" s="11" t="str">
        <x:v>Extração parcial do início da descrição; conferir unidade/descrição completa no PDF.</x:v>
      </x:c>
      <x:c r="M153" s="11" t="str">
        <x:v>DOC-0004</x:v>
      </x:c>
      <x:c r="N153" s="11" t="n">
        <x:f>H153*I153</x:f>
        <x:v>810.54</x:v>
      </x:c>
      <x:c r="O153" s="11" t="n">
        <x:f>ROUND(N153-J153,2)</x:f>
        <x:v>0</x:v>
      </x:c>
    </x:row>
    <x:row r="154" ht="84" customHeight="1">
      <x:c r="A154" s="8" t="str">
        <x:v>ED-0004</x:v>
      </x:c>
      <x:c r="B154" s="8" t="str">
        <x:v>Diamantino</x:v>
      </x:c>
      <x:c r="C154" s="8" t="str">
        <x:v>Nova Marilândia</x:v>
      </x:c>
      <x:c r="D154" s="8" t="n">
        <x:v>34</x:v>
      </x:c>
      <x:c r="E154" s="8" t="str">
        <x:v>PIMENTÃO VERDE</x:v>
      </x:c>
      <x:c r="F154" s="8" t="str">
        <x:v>PIMENTÃO VERDE, inteiro,</x:v>
      </x:c>
      <x:c r="G154" s="8" t="str">
        <x:v>Quilograma</x:v>
      </x:c>
      <x:c r="H154" s="11" t="n">
        <x:v>17</x:v>
      </x:c>
      <x:c r="I154" s="11" t="n">
        <x:v>11.77</x:v>
      </x:c>
      <x:c r="J154" s="11" t="n">
        <x:v>200.09</x:v>
      </x:c>
      <x:c r="K154" s="11" t="n">
        <x:v>16</x:v>
      </x:c>
      <x:c r="L154" s="11" t="str">
        <x:v>Extração parcial do início da descrição; conferir unidade/descrição completa no PDF.</x:v>
      </x:c>
      <x:c r="M154" s="11" t="str">
        <x:v>DOC-0004</x:v>
      </x:c>
      <x:c r="N154" s="11" t="n">
        <x:f>H154*I154</x:f>
        <x:v>200.09</x:v>
      </x:c>
      <x:c r="O154" s="11" t="n">
        <x:f>ROUND(N154-J154,2)</x:f>
        <x:v>0</x:v>
      </x:c>
    </x:row>
    <x:row r="155" ht="84" customHeight="1">
      <x:c r="A155" s="8" t="str">
        <x:v>ED-0004</x:v>
      </x:c>
      <x:c r="B155" s="8" t="str">
        <x:v>Diamantino</x:v>
      </x:c>
      <x:c r="C155" s="8" t="str">
        <x:v>Nova Marilândia</x:v>
      </x:c>
      <x:c r="D155" s="8" t="n">
        <x:v>36</x:v>
      </x:c>
      <x:c r="E155" s="8" t="str">
        <x:v>QUEIJO          MUSSARELA</x:v>
      </x:c>
      <x:c r="F155" s="8" t="str">
        <x:v>QUEIJO          MUSSARELA,</x:v>
      </x:c>
      <x:c r="G155" s="8" t="str">
        <x:v>Quilograma</x:v>
      </x:c>
      <x:c r="H155" s="11" t="n">
        <x:v>74</x:v>
      </x:c>
      <x:c r="I155" s="11" t="n">
        <x:v>56.08</x:v>
      </x:c>
      <x:c r="J155" s="11" t="n">
        <x:v>4149.92</x:v>
      </x:c>
      <x:c r="K155" s="11" t="n">
        <x:v>17</x:v>
      </x:c>
      <x:c r="L155" s="11" t="str">
        <x:v>Extração parcial do início da descrição; conferir unidade/descrição completa no PDF.</x:v>
      </x:c>
      <x:c r="M155" s="11" t="str">
        <x:v>DOC-0004</x:v>
      </x:c>
      <x:c r="N155" s="11" t="n">
        <x:f>H155*I155</x:f>
        <x:v>4149.92</x:v>
      </x:c>
      <x:c r="O155" s="11" t="n">
        <x:f>ROUND(N155-J155,2)</x:f>
        <x:v>0</x:v>
      </x:c>
    </x:row>
    <x:row r="156" ht="84" customHeight="1">
      <x:c r="A156" s="8" t="str">
        <x:v>ED-0004</x:v>
      </x:c>
      <x:c r="B156" s="8" t="str">
        <x:v>Diamantino</x:v>
      </x:c>
      <x:c r="C156" s="8" t="str">
        <x:v>Nova Marilândia</x:v>
      </x:c>
      <x:c r="D156" s="8" t="n">
        <x:v>37</x:v>
      </x:c>
      <x:c r="E156" s="8" t="str">
        <x:v>REPOLHO</x:v>
      </x:c>
      <x:c r="F156" s="8" t="str">
        <x:v>REPOLHO</x:v>
      </x:c>
      <x:c r="G156" s="8" t="str">
        <x:v>Quilograma</x:v>
      </x:c>
      <x:c r="H156" s="11" t="n">
        <x:v>268</x:v>
      </x:c>
      <x:c r="I156" s="11" t="n">
        <x:v>6.23</x:v>
      </x:c>
      <x:c r="J156" s="11" t="n">
        <x:v>1669.64</x:v>
      </x:c>
      <x:c r="K156" s="11" t="n">
        <x:v>18</x:v>
      </x:c>
      <x:c r="L156" s="11" t="str">
        <x:v>Extração parcial do início da descrição; conferir unidade/descrição completa no PDF.</x:v>
      </x:c>
      <x:c r="M156" s="11" t="str">
        <x:v>DOC-0004</x:v>
      </x:c>
      <x:c r="N156" s="11" t="n">
        <x:f>H156*I156</x:f>
        <x:v>1669.64</x:v>
      </x:c>
      <x:c r="O156" s="11" t="n">
        <x:f>ROUND(N156-J156,2)</x:f>
        <x:v>0</x:v>
      </x:c>
    </x:row>
    <x:row r="157" ht="84" customHeight="1">
      <x:c r="A157" s="8" t="str">
        <x:v>ED-0004</x:v>
      </x:c>
      <x:c r="B157" s="8" t="str">
        <x:v>Diamantino</x:v>
      </x:c>
      <x:c r="C157" s="8" t="str">
        <x:v>Nova Marilândia</x:v>
      </x:c>
      <x:c r="D157" s="8" t="n">
        <x:v>38</x:v>
      </x:c>
      <x:c r="E157" s="8" t="str">
        <x:v>RÚCULA</x:v>
      </x:c>
      <x:c r="F157" s="8" t="str">
        <x:v>RÚCULA, com folhas inteiras,</x:v>
      </x:c>
      <x:c r="G157" s="8" t="str">
        <x:v>Quilograma</x:v>
      </x:c>
      <x:c r="H157" s="11" t="n">
        <x:v>99</x:v>
      </x:c>
      <x:c r="I157" s="11" t="n">
        <x:v>27.38</x:v>
      </x:c>
      <x:c r="J157" s="11" t="n">
        <x:v>2710.62</x:v>
      </x:c>
      <x:c r="K157" s="11" t="n">
        <x:v>18</x:v>
      </x:c>
      <x:c r="L157" s="11" t="str">
        <x:v>Extração parcial do início da descrição; conferir unidade/descrição completa no PDF.</x:v>
      </x:c>
      <x:c r="M157" s="11" t="str">
        <x:v>DOC-0004</x:v>
      </x:c>
      <x:c r="N157" s="11" t="n">
        <x:f>H157*I157</x:f>
        <x:v>2710.62</x:v>
      </x:c>
      <x:c r="O157" s="11" t="n">
        <x:f>ROUND(N157-J157,2)</x:f>
        <x:v>0</x:v>
      </x:c>
    </x:row>
    <x:row r="158" ht="84" customHeight="1">
      <x:c r="A158" s="8" t="str">
        <x:v>ED-0004</x:v>
      </x:c>
      <x:c r="B158" s="8" t="str">
        <x:v>Diamantino</x:v>
      </x:c>
      <x:c r="C158" s="8" t="str">
        <x:v>Nova Marilândia</x:v>
      </x:c>
      <x:c r="D158" s="8" t="n">
        <x:v>39</x:v>
      </x:c>
      <x:c r="E158" s="8" t="str">
        <x:v>SALSA</x:v>
      </x:c>
      <x:c r="F158" s="8" t="str">
        <x:v>SALSA, com talos e folhas</x:v>
      </x:c>
      <x:c r="G158" s="8" t="str">
        <x:v>Quilograma</x:v>
      </x:c>
      <x:c r="H158" s="11" t="n">
        <x:v>49</x:v>
      </x:c>
      <x:c r="I158" s="11" t="n">
        <x:v>28.75</x:v>
      </x:c>
      <x:c r="J158" s="11" t="n">
        <x:v>1408.75</x:v>
      </x:c>
      <x:c r="K158" s="11" t="n">
        <x:v>19</x:v>
      </x:c>
      <x:c r="L158" s="11" t="str">
        <x:v>Extração parcial do início da descrição; conferir unidade/descrição completa no PDF.</x:v>
      </x:c>
      <x:c r="M158" s="11" t="str">
        <x:v>DOC-0004</x:v>
      </x:c>
      <x:c r="N158" s="11" t="n">
        <x:f>H158*I158</x:f>
        <x:v>1408.75</x:v>
      </x:c>
      <x:c r="O158" s="11" t="n">
        <x:f>ROUND(N158-J158,2)</x:f>
        <x:v>0</x:v>
      </x:c>
    </x:row>
    <x:row r="159" ht="84" customHeight="1">
      <x:c r="A159" s="8" t="str">
        <x:v>ED-0004</x:v>
      </x:c>
      <x:c r="B159" s="8" t="str">
        <x:v>Diamantino</x:v>
      </x:c>
      <x:c r="C159" s="8" t="str">
        <x:v>Nova Marilândia</x:v>
      </x:c>
      <x:c r="D159" s="8" t="n">
        <x:v>40</x:v>
      </x:c>
      <x:c r="E159" s="8" t="str">
        <x:v>TOMATE SALADA</x:v>
      </x:c>
      <x:c r="F159" s="8" t="str">
        <x:v>TOMATE SALADA, inteiros,</x:v>
      </x:c>
      <x:c r="G159" s="8" t="str">
        <x:v>Quilograma</x:v>
      </x:c>
      <x:c r="H159" s="11" t="n">
        <x:v>156</x:v>
      </x:c>
      <x:c r="I159" s="11" t="n">
        <x:v>10.48</x:v>
      </x:c>
      <x:c r="J159" s="11" t="n">
        <x:v>1634.88</x:v>
      </x:c>
      <x:c r="K159" s="11" t="n">
        <x:v>19</x:v>
      </x:c>
      <x:c r="L159" s="11" t="str">
        <x:v>Extração parcial do início da descrição; conferir unidade/descrição completa no PDF.</x:v>
      </x:c>
      <x:c r="M159" s="11" t="str">
        <x:v>DOC-0004</x:v>
      </x:c>
      <x:c r="N159" s="11" t="n">
        <x:f>H159*I159</x:f>
        <x:v>1634.88</x:v>
      </x:c>
      <x:c r="O159" s="11" t="n">
        <x:f>ROUND(N159-J159,2)</x:f>
        <x:v>0</x:v>
      </x:c>
    </x:row>
    <x:row r="160" ht="84" customHeight="1">
      <x:c r="A160" s="8" t="str">
        <x:v>ED-0004</x:v>
      </x:c>
      <x:c r="B160" s="8" t="str">
        <x:v>Diamantino</x:v>
      </x:c>
      <x:c r="C160" s="8" t="str">
        <x:v>Nova Marilândia</x:v>
      </x:c>
      <x:c r="D160" s="8" t="n">
        <x:v>41</x:v>
      </x:c>
      <x:c r="E160" s="8" t="str">
        <x:v>VAGEM</x:v>
      </x:c>
      <x:c r="F160" s="8" t="str">
        <x:v>VAGEM, inteira, livre de sujidades,</x:v>
      </x:c>
      <x:c r="G160" s="8" t="str">
        <x:v>Quilograma</x:v>
      </x:c>
      <x:c r="H160" s="11" t="n">
        <x:v>34</x:v>
      </x:c>
      <x:c r="I160" s="11" t="n">
        <x:v>22.87</x:v>
      </x:c>
      <x:c r="J160" s="11" t="n">
        <x:v>777.58</x:v>
      </x:c>
      <x:c r="K160" s="11" t="n">
        <x:v>19</x:v>
      </x:c>
      <x:c r="L160" s="11" t="str">
        <x:v>Extração parcial do início da descrição; conferir unidade/descrição completa no PDF.</x:v>
      </x:c>
      <x:c r="M160" s="11" t="str">
        <x:v>DOC-0004</x:v>
      </x:c>
      <x:c r="N160" s="11" t="n">
        <x:f>H160*I160</x:f>
        <x:v>777.58</x:v>
      </x:c>
      <x:c r="O160" s="11" t="n">
        <x:f>ROUND(N160-J160,2)</x:f>
        <x:v>0</x:v>
      </x:c>
    </x:row>
    <x:row r="161" ht="84" customHeight="1">
      <x:c r="A161" s="8" t="str">
        <x:v>ED-0005</x:v>
      </x:c>
      <x:c r="B161" s="8" t="str">
        <x:v>Diamantino</x:v>
      </x:c>
      <x:c r="C161" s="8" t="str">
        <x:v>Nortelândia</x:v>
      </x:c>
      <x:c r="D161" s="8" t="n">
        <x:v>1</x:v>
      </x:c>
      <x:c r="E161" s="8" t="str">
        <x:v>ABACATE</x:v>
      </x:c>
      <x:c r="F161" s="8" t="str">
        <x:v>ABACATE, inteiro, livre de sujidades,</x:v>
      </x:c>
      <x:c r="G161" s="8" t="str">
        <x:v>Quilograma</x:v>
      </x:c>
      <x:c r="H161" s="11" t="n">
        <x:v>34</x:v>
      </x:c>
      <x:c r="I161" s="11" t="n">
        <x:v>17.56</x:v>
      </x:c>
      <x:c r="J161" s="11" t="n">
        <x:v>597.04</x:v>
      </x:c>
      <x:c r="K161" s="11" t="n">
        <x:v>3</x:v>
      </x:c>
      <x:c r="L161" s="11" t="str">
        <x:v>Extração parcial do início da descrição; conferir unidade/descrição completa no PDF.</x:v>
      </x:c>
      <x:c r="M161" s="11" t="str">
        <x:v>DOC-0005</x:v>
      </x:c>
      <x:c r="N161" s="11" t="n">
        <x:f>H161*I161</x:f>
        <x:v>597.04</x:v>
      </x:c>
      <x:c r="O161" s="11" t="n">
        <x:f>ROUND(N161-J161,2)</x:f>
        <x:v>0</x:v>
      </x:c>
    </x:row>
    <x:row r="162" ht="84" customHeight="1">
      <x:c r="A162" s="8" t="str">
        <x:v>ED-0005</x:v>
      </x:c>
      <x:c r="B162" s="8" t="str">
        <x:v>Diamantino</x:v>
      </x:c>
      <x:c r="C162" s="8" t="str">
        <x:v>Nortelândia</x:v>
      </x:c>
      <x:c r="D162" s="8" t="n">
        <x:v>2</x:v>
      </x:c>
      <x:c r="E162" s="8" t="str">
        <x:v>ABACAXI PÉROLA</x:v>
      </x:c>
      <x:c r="F162" s="8" t="str">
        <x:v>ABACAXI PÉROLA, inteiro, livre de</x:v>
      </x:c>
      <x:c r="G162" s="8" t="str">
        <x:v>Quilograma</x:v>
      </x:c>
      <x:c r="H162" s="11" t="n">
        <x:v>194</x:v>
      </x:c>
      <x:c r="I162" s="11" t="n">
        <x:v>11.93</x:v>
      </x:c>
      <x:c r="J162" s="11" t="n">
        <x:v>2314.42</x:v>
      </x:c>
      <x:c r="K162" s="11" t="n">
        <x:v>3</x:v>
      </x:c>
      <x:c r="L162" s="11" t="str">
        <x:v>Extração parcial do início da descrição; conferir unidade/descrição completa no PDF.</x:v>
      </x:c>
      <x:c r="M162" s="11" t="str">
        <x:v>DOC-0005</x:v>
      </x:c>
      <x:c r="N162" s="11" t="n">
        <x:f>H162*I162</x:f>
        <x:v>2314.42</x:v>
      </x:c>
      <x:c r="O162" s="11" t="n">
        <x:f>ROUND(N162-J162,2)</x:f>
        <x:v>0</x:v>
      </x:c>
    </x:row>
    <x:row r="163" ht="84" customHeight="1">
      <x:c r="A163" s="8" t="str">
        <x:v>ED-0005</x:v>
      </x:c>
      <x:c r="B163" s="8" t="str">
        <x:v>Diamantino</x:v>
      </x:c>
      <x:c r="C163" s="8" t="str">
        <x:v>Nortelândia</x:v>
      </x:c>
      <x:c r="D163" s="8" t="n">
        <x:v>3</x:v>
      </x:c>
      <x:c r="E163" s="8" t="str">
        <x:v>ABÓBORA CABOTIÃ</x:v>
      </x:c>
      <x:c r="F163" s="8" t="str">
        <x:v>ABÓBORA CABOTIÃ, inteira, livre</x:v>
      </x:c>
      <x:c r="G163" s="8" t="str">
        <x:v>Quilograma</x:v>
      </x:c>
      <x:c r="H163" s="11" t="n">
        <x:v>147</x:v>
      </x:c>
      <x:c r="I163" s="11" t="n">
        <x:v>5.65</x:v>
      </x:c>
      <x:c r="J163" s="11" t="n">
        <x:v>830.55</x:v>
      </x:c>
      <x:c r="K163" s="11" t="n">
        <x:v>3</x:v>
      </x:c>
      <x:c r="L163" s="11" t="str">
        <x:v>Extração parcial do início da descrição; conferir unidade/descrição completa no PDF.</x:v>
      </x:c>
      <x:c r="M163" s="11" t="str">
        <x:v>DOC-0005</x:v>
      </x:c>
      <x:c r="N163" s="11" t="n">
        <x:f>H163*I163</x:f>
        <x:v>830.5500000000001</x:v>
      </x:c>
      <x:c r="O163" s="11" t="n">
        <x:f>ROUND(N163-J163,2)</x:f>
        <x:v>0</x:v>
      </x:c>
    </x:row>
    <x:row r="164" ht="84" customHeight="1">
      <x:c r="A164" s="8" t="str">
        <x:v>ED-0005</x:v>
      </x:c>
      <x:c r="B164" s="8" t="str">
        <x:v>Diamantino</x:v>
      </x:c>
      <x:c r="C164" s="8" t="str">
        <x:v>Nortelândia</x:v>
      </x:c>
      <x:c r="D164" s="8" t="n">
        <x:v>4</x:v>
      </x:c>
      <x:c r="E164" s="8" t="str">
        <x:v>AÇAFRÃO</x:v>
      </x:c>
      <x:c r="F164" s="8" t="str">
        <x:v>AÇAFRÃO, torrado, em pó fino e</x:v>
      </x:c>
      <x:c r="G164" s="8" t="str">
        <x:v>Unidade de</x:v>
      </x:c>
      <x:c r="H164" s="11" t="n">
        <x:v>118</x:v>
      </x:c>
      <x:c r="I164" s="11" t="n">
        <x:v>3.01</x:v>
      </x:c>
      <x:c r="J164" s="11" t="n">
        <x:v>355.18</x:v>
      </x:c>
      <x:c r="K164" s="11" t="n">
        <x:v>4</x:v>
      </x:c>
      <x:c r="L164" s="11" t="str">
        <x:v>Extração parcial do início da descrição; conferir unidade/descrição completa no PDF.</x:v>
      </x:c>
      <x:c r="M164" s="11" t="str">
        <x:v>DOC-0005</x:v>
      </x:c>
      <x:c r="N164" s="11" t="n">
        <x:f>H164*I164</x:f>
        <x:v>355.17999999999995</x:v>
      </x:c>
      <x:c r="O164" s="11" t="n">
        <x:f>ROUND(N164-J164,2)</x:f>
        <x:v>0</x:v>
      </x:c>
    </x:row>
    <x:row r="165" ht="84" customHeight="1">
      <x:c r="A165" s="8" t="str">
        <x:v>ED-0005</x:v>
      </x:c>
      <x:c r="B165" s="8" t="str">
        <x:v>Diamantino</x:v>
      </x:c>
      <x:c r="C165" s="8" t="str">
        <x:v>Nortelândia</x:v>
      </x:c>
      <x:c r="D165" s="8" t="n">
        <x:v>6</x:v>
      </x:c>
      <x:c r="E165" s="8" t="str">
        <x:v>AGRIÃO</x:v>
      </x:c>
      <x:c r="F165" s="8" t="str">
        <x:v>AGRIÃO, com folhas inteiras, livre de</x:v>
      </x:c>
      <x:c r="G165" s="8" t="str">
        <x:v>Quilograma</x:v>
      </x:c>
      <x:c r="H165" s="11" t="n">
        <x:v>60</x:v>
      </x:c>
      <x:c r="I165" s="11" t="n">
        <x:v>34.98</x:v>
      </x:c>
      <x:c r="J165" s="11" t="n">
        <x:v>2098.8</x:v>
      </x:c>
      <x:c r="K165" s="11" t="n">
        <x:v>4</x:v>
      </x:c>
      <x:c r="L165" s="11" t="str">
        <x:v>Extração parcial do início da descrição; conferir unidade/descrição completa no PDF.</x:v>
      </x:c>
      <x:c r="M165" s="11" t="str">
        <x:v>DOC-0005</x:v>
      </x:c>
      <x:c r="N165" s="11" t="n">
        <x:f>H165*I165</x:f>
        <x:v>2098.7999999999997</x:v>
      </x:c>
      <x:c r="O165" s="11" t="n">
        <x:f>ROUND(N165-J165,2)</x:f>
        <x:v>0</x:v>
      </x:c>
    </x:row>
    <x:row r="166" ht="84" customHeight="1">
      <x:c r="A166" s="8" t="str">
        <x:v>ED-0005</x:v>
      </x:c>
      <x:c r="B166" s="8" t="str">
        <x:v>Diamantino</x:v>
      </x:c>
      <x:c r="C166" s="8" t="str">
        <x:v>Nortelândia</x:v>
      </x:c>
      <x:c r="D166" s="8" t="n">
        <x:v>7</x:v>
      </x:c>
      <x:c r="E166" s="8" t="str">
        <x:v>ALFACE CRESPA</x:v>
      </x:c>
      <x:c r="F166" s="8" t="str">
        <x:v>ALFACE CRESPA, com folhas</x:v>
      </x:c>
      <x:c r="G166" s="8" t="str">
        <x:v>Quilograma</x:v>
      </x:c>
      <x:c r="H166" s="11" t="n">
        <x:v>546</x:v>
      </x:c>
      <x:c r="I166" s="11" t="n">
        <x:v>27.34</x:v>
      </x:c>
      <x:c r="J166" s="11" t="n">
        <x:v>14927.64</x:v>
      </x:c>
      <x:c r="K166" s="11" t="n">
        <x:v>4</x:v>
      </x:c>
      <x:c r="L166" s="11" t="str">
        <x:v>Extração parcial do início da descrição; conferir unidade/descrição completa no PDF.</x:v>
      </x:c>
      <x:c r="M166" s="11" t="str">
        <x:v>DOC-0005</x:v>
      </x:c>
      <x:c r="N166" s="11" t="n">
        <x:f>H166*I166</x:f>
        <x:v>14927.64</x:v>
      </x:c>
      <x:c r="O166" s="11" t="n">
        <x:f>ROUND(N166-J166,2)</x:f>
        <x:v>0</x:v>
      </x:c>
    </x:row>
    <x:row r="167" ht="84" customHeight="1">
      <x:c r="A167" s="8" t="str">
        <x:v>ED-0005</x:v>
      </x:c>
      <x:c r="B167" s="8" t="str">
        <x:v>Diamantino</x:v>
      </x:c>
      <x:c r="C167" s="8" t="str">
        <x:v>Nortelândia</x:v>
      </x:c>
      <x:c r="D167" s="8" t="n">
        <x:v>8</x:v>
      </x:c>
      <x:c r="E167" s="8" t="str">
        <x:v>ALMEIRÃO</x:v>
      </x:c>
      <x:c r="F167" s="8" t="str">
        <x:v>ALMEIRÃO, com folhas inteiras, livre</x:v>
      </x:c>
      <x:c r="G167" s="8" t="str">
        <x:v>Quilograma</x:v>
      </x:c>
      <x:c r="H167" s="11" t="n">
        <x:v>110</x:v>
      </x:c>
      <x:c r="I167" s="11" t="n">
        <x:v>29.68</x:v>
      </x:c>
      <x:c r="J167" s="11" t="n">
        <x:v>3264.8</x:v>
      </x:c>
      <x:c r="K167" s="11" t="n">
        <x:v>5</x:v>
      </x:c>
      <x:c r="L167" s="11" t="str">
        <x:v>Extração parcial do início da descrição; conferir unidade/descrição completa no PDF.</x:v>
      </x:c>
      <x:c r="M167" s="11" t="str">
        <x:v>DOC-0005</x:v>
      </x:c>
      <x:c r="N167" s="11" t="n">
        <x:f>H167*I167</x:f>
        <x:v>3264.8</x:v>
      </x:c>
      <x:c r="O167" s="11" t="n">
        <x:f>ROUND(N167-J167,2)</x:f>
        <x:v>0</x:v>
      </x:c>
    </x:row>
    <x:row r="168" ht="84" customHeight="1">
      <x:c r="A168" s="8" t="str">
        <x:v>ED-0005</x:v>
      </x:c>
      <x:c r="B168" s="8" t="str">
        <x:v>Diamantino</x:v>
      </x:c>
      <x:c r="C168" s="8" t="str">
        <x:v>Nortelândia</x:v>
      </x:c>
      <x:c r="D168" s="8" t="n">
        <x:v>9</x:v>
      </x:c>
      <x:c r="E168" s="8" t="str">
        <x:v>BANANA DA TERRA</x:v>
      </x:c>
      <x:c r="F168" s="8" t="str">
        <x:v>BANANA DA TERRA, inteira, livre</x:v>
      </x:c>
      <x:c r="G168" s="8" t="str">
        <x:v>Quilograma</x:v>
      </x:c>
      <x:c r="H168" s="11" t="n">
        <x:v>153</x:v>
      </x:c>
      <x:c r="I168" s="11" t="n">
        <x:v>11.13</x:v>
      </x:c>
      <x:c r="J168" s="11" t="n">
        <x:v>1702.89</x:v>
      </x:c>
      <x:c r="K168" s="11" t="n">
        <x:v>5</x:v>
      </x:c>
      <x:c r="L168" s="11" t="str">
        <x:v>Extração parcial do início da descrição; conferir unidade/descrição completa no PDF.</x:v>
      </x:c>
      <x:c r="M168" s="11" t="str">
        <x:v>DOC-0005</x:v>
      </x:c>
      <x:c r="N168" s="11" t="n">
        <x:f>H168*I168</x:f>
        <x:v>1702.89</x:v>
      </x:c>
      <x:c r="O168" s="11" t="n">
        <x:f>ROUND(N168-J168,2)</x:f>
        <x:v>0</x:v>
      </x:c>
    </x:row>
    <x:row r="169" ht="84" customHeight="1">
      <x:c r="A169" s="8" t="str">
        <x:v>ED-0005</x:v>
      </x:c>
      <x:c r="B169" s="8" t="str">
        <x:v>Diamantino</x:v>
      </x:c>
      <x:c r="C169" s="8" t="str">
        <x:v>Nortelândia</x:v>
      </x:c>
      <x:c r="D169" s="8" t="n">
        <x:v>10</x:v>
      </x:c>
      <x:c r="E169" s="8" t="str">
        <x:v>BANANA NANICA</x:v>
      </x:c>
      <x:c r="F169" s="8" t="str">
        <x:v>BANANA NANICA, inteira, livre de</x:v>
      </x:c>
      <x:c r="G169" s="8" t="str">
        <x:v>Quilograma</x:v>
      </x:c>
      <x:c r="H169" s="11" t="n">
        <x:v>289</x:v>
      </x:c>
      <x:c r="I169" s="11" t="n">
        <x:v>8.11</x:v>
      </x:c>
      <x:c r="J169" s="11" t="n">
        <x:v>2343.79</x:v>
      </x:c>
      <x:c r="K169" s="11" t="n">
        <x:v>5</x:v>
      </x:c>
      <x:c r="L169" s="11" t="str">
        <x:v>Extração parcial do início da descrição; conferir unidade/descrição completa no PDF.</x:v>
      </x:c>
      <x:c r="M169" s="11" t="str">
        <x:v>DOC-0005</x:v>
      </x:c>
      <x:c r="N169" s="11" t="n">
        <x:f>H169*I169</x:f>
        <x:v>2343.79</x:v>
      </x:c>
      <x:c r="O169" s="11" t="n">
        <x:f>ROUND(N169-J169,2)</x:f>
        <x:v>0</x:v>
      </x:c>
    </x:row>
    <x:row r="170" ht="84" customHeight="1">
      <x:c r="A170" s="8" t="str">
        <x:v>ED-0005</x:v>
      </x:c>
      <x:c r="B170" s="8" t="str">
        <x:v>Diamantino</x:v>
      </x:c>
      <x:c r="C170" s="8" t="str">
        <x:v>Nortelândia</x:v>
      </x:c>
      <x:c r="D170" s="8" t="n">
        <x:v>11</x:v>
      </x:c>
      <x:c r="E170" s="8" t="str">
        <x:v>BATATA DOCE</x:v>
      </x:c>
      <x:c r="F170" s="8" t="str">
        <x:v>BATATA DOCE, inteira, livre de</x:v>
      </x:c>
      <x:c r="G170" s="8" t="str">
        <x:v>Quilograma</x:v>
      </x:c>
      <x:c r="H170" s="11" t="n">
        <x:v>129</x:v>
      </x:c>
      <x:c r="I170" s="11" t="n">
        <x:v>6.26</x:v>
      </x:c>
      <x:c r="J170" s="11" t="n">
        <x:v>807.54</x:v>
      </x:c>
      <x:c r="K170" s="11" t="n">
        <x:v>6</x:v>
      </x:c>
      <x:c r="L170" s="11" t="str">
        <x:v>Extração parcial do início da descrição; conferir unidade/descrição completa no PDF.</x:v>
      </x:c>
      <x:c r="M170" s="11" t="str">
        <x:v>DOC-0005</x:v>
      </x:c>
      <x:c r="N170" s="11" t="n">
        <x:f>H170*I170</x:f>
        <x:v>807.54</x:v>
      </x:c>
      <x:c r="O170" s="11" t="n">
        <x:f>ROUND(N170-J170,2)</x:f>
        <x:v>0</x:v>
      </x:c>
    </x:row>
    <x:row r="171" ht="84" customHeight="1">
      <x:c r="A171" s="8" t="str">
        <x:v>ED-0005</x:v>
      </x:c>
      <x:c r="B171" s="8" t="str">
        <x:v>Diamantino</x:v>
      </x:c>
      <x:c r="C171" s="8" t="str">
        <x:v>Nortelândia</x:v>
      </x:c>
      <x:c r="D171" s="8" t="n">
        <x:v>13</x:v>
      </x:c>
      <x:c r="E171" s="8" t="str">
        <x:v>BETERRABA</x:v>
      </x:c>
      <x:c r="F171" s="8" t="str">
        <x:v>BETERRABA, inteira, livre de</x:v>
      </x:c>
      <x:c r="G171" s="8" t="str">
        <x:v>Quilograma</x:v>
      </x:c>
      <x:c r="H171" s="11" t="n">
        <x:v>60</x:v>
      </x:c>
      <x:c r="I171" s="11" t="n">
        <x:v>7.58</x:v>
      </x:c>
      <x:c r="J171" s="11" t="n">
        <x:v>454.8</x:v>
      </x:c>
      <x:c r="K171" s="11" t="n">
        <x:v>6</x:v>
      </x:c>
      <x:c r="L171" s="11" t="str">
        <x:v>Extração parcial do início da descrição; conferir unidade/descrição completa no PDF.</x:v>
      </x:c>
      <x:c r="M171" s="11" t="str">
        <x:v>DOC-0005</x:v>
      </x:c>
      <x:c r="N171" s="11" t="n">
        <x:f>H171*I171</x:f>
        <x:v>454.8</x:v>
      </x:c>
      <x:c r="O171" s="11" t="n">
        <x:f>ROUND(N171-J171,2)</x:f>
        <x:v>0</x:v>
      </x:c>
    </x:row>
    <x:row r="172" ht="84" customHeight="1">
      <x:c r="A172" s="8" t="str">
        <x:v>ED-0005</x:v>
      </x:c>
      <x:c r="B172" s="8" t="str">
        <x:v>Diamantino</x:v>
      </x:c>
      <x:c r="C172" s="8" t="str">
        <x:v>Nortelândia</x:v>
      </x:c>
      <x:c r="D172" s="8" t="n">
        <x:v>14</x:v>
      </x:c>
      <x:c r="E172" s="8" t="str">
        <x:v>BOLO DE CHOCOLATE</x:v>
      </x:c>
      <x:c r="F172" s="8" t="str">
        <x:v>BOLO DE CHOCOLATE, caseiro,</x:v>
      </x:c>
      <x:c r="G172" s="8" t="str">
        <x:v>Quilograma</x:v>
      </x:c>
      <x:c r="H172" s="11" t="n">
        <x:v>597</x:v>
      </x:c>
      <x:c r="I172" s="11" t="n">
        <x:v>37</x:v>
      </x:c>
      <x:c r="J172" s="11" t="n">
        <x:v>22089</x:v>
      </x:c>
      <x:c r="K172" s="11" t="n">
        <x:v>7</x:v>
      </x:c>
      <x:c r="L172" s="11" t="str">
        <x:v>Extração parcial do início da descrição; conferir unidade/descrição completa no PDF.</x:v>
      </x:c>
      <x:c r="M172" s="11" t="str">
        <x:v>DOC-0005</x:v>
      </x:c>
      <x:c r="N172" s="11" t="n">
        <x:f>H172*I172</x:f>
        <x:v>22089</x:v>
      </x:c>
      <x:c r="O172" s="11" t="n">
        <x:f>ROUND(N172-J172,2)</x:f>
        <x:v>0</x:v>
      </x:c>
    </x:row>
    <x:row r="173" ht="84" customHeight="1">
      <x:c r="A173" s="8" t="str">
        <x:v>ED-0005</x:v>
      </x:c>
      <x:c r="B173" s="8" t="str">
        <x:v>Diamantino</x:v>
      </x:c>
      <x:c r="C173" s="8" t="str">
        <x:v>Nortelândia</x:v>
      </x:c>
      <x:c r="D173" s="8" t="n">
        <x:v>15</x:v>
      </x:c>
      <x:c r="E173" s="8" t="str">
        <x:v>BOLO        DE      COCO</x:v>
      </x:c>
      <x:c r="F173" s="8" t="str">
        <x:v>BOLO        DE      COCO,       caseiro,</x:v>
      </x:c>
      <x:c r="G173" s="8" t="str">
        <x:v>Quilograma</x:v>
      </x:c>
      <x:c r="H173" s="11" t="n">
        <x:v>597</x:v>
      </x:c>
      <x:c r="I173" s="11" t="n">
        <x:v>33</x:v>
      </x:c>
      <x:c r="J173" s="11" t="n">
        <x:v>19701</x:v>
      </x:c>
      <x:c r="K173" s="11" t="n">
        <x:v>7</x:v>
      </x:c>
      <x:c r="L173" s="11" t="str">
        <x:v>Extração parcial do início da descrição; conferir unidade/descrição completa no PDF.</x:v>
      </x:c>
      <x:c r="M173" s="11" t="str">
        <x:v>DOC-0005</x:v>
      </x:c>
      <x:c r="N173" s="11" t="n">
        <x:f>H173*I173</x:f>
        <x:v>19701</x:v>
      </x:c>
      <x:c r="O173" s="11" t="n">
        <x:f>ROUND(N173-J173,2)</x:f>
        <x:v>0</x:v>
      </x:c>
    </x:row>
    <x:row r="174" ht="84" customHeight="1">
      <x:c r="A174" s="8" t="str">
        <x:v>ED-0005</x:v>
      </x:c>
      <x:c r="B174" s="8" t="str">
        <x:v>Diamantino</x:v>
      </x:c>
      <x:c r="C174" s="8" t="str">
        <x:v>Nortelândia</x:v>
      </x:c>
      <x:c r="D174" s="8" t="n">
        <x:v>16</x:v>
      </x:c>
      <x:c r="E174" s="8" t="str">
        <x:v>BOLO          SIMPLES</x:v>
      </x:c>
      <x:c r="F174" s="8" t="str">
        <x:v>BOLO          SIMPLES,          caseiro,</x:v>
      </x:c>
      <x:c r="G174" s="8" t="str">
        <x:v>Quilograma</x:v>
      </x:c>
      <x:c r="H174" s="11" t="n">
        <x:v>597</x:v>
      </x:c>
      <x:c r="I174" s="11" t="n">
        <x:v>33</x:v>
      </x:c>
      <x:c r="J174" s="11" t="n">
        <x:v>19701</x:v>
      </x:c>
      <x:c r="K174" s="11" t="n">
        <x:v>7</x:v>
      </x:c>
      <x:c r="L174" s="11" t="str">
        <x:v>Extração parcial do início da descrição; conferir unidade/descrição completa no PDF.</x:v>
      </x:c>
      <x:c r="M174" s="11" t="str">
        <x:v>DOC-0005</x:v>
      </x:c>
      <x:c r="N174" s="11" t="n">
        <x:f>H174*I174</x:f>
        <x:v>19701</x:v>
      </x:c>
      <x:c r="O174" s="11" t="n">
        <x:f>ROUND(N174-J174,2)</x:f>
        <x:v>0</x:v>
      </x:c>
    </x:row>
    <x:row r="175" ht="84" customHeight="1">
      <x:c r="A175" s="8" t="str">
        <x:v>ED-0005</x:v>
      </x:c>
      <x:c r="B175" s="8" t="str">
        <x:v>Diamantino</x:v>
      </x:c>
      <x:c r="C175" s="8" t="str">
        <x:v>Nortelândia</x:v>
      </x:c>
      <x:c r="D175" s="8" t="n">
        <x:v>17</x:v>
      </x:c>
      <x:c r="E175" s="8" t="str">
        <x:v>CAFÉ TORRADO E MOÍDO</x:v>
      </x:c>
      <x:c r="F175" s="8" t="str">
        <x:v>CAFÉ TORRADO E MOÍDO, 1ª</x:v>
      </x:c>
      <x:c r="G175" s="8" t="str">
        <x:v>Unidade de</x:v>
      </x:c>
      <x:c r="H175" s="11" t="n">
        <x:v>192</x:v>
      </x:c>
      <x:c r="I175" s="11" t="n">
        <x:v>23.72</x:v>
      </x:c>
      <x:c r="J175" s="11" t="n">
        <x:v>4554.24</x:v>
      </x:c>
      <x:c r="K175" s="11" t="n">
        <x:v>7</x:v>
      </x:c>
      <x:c r="L175" s="11" t="str">
        <x:v>Extração parcial do início da descrição; conferir unidade/descrição completa no PDF.</x:v>
      </x:c>
      <x:c r="M175" s="11" t="str">
        <x:v>DOC-0005</x:v>
      </x:c>
      <x:c r="N175" s="11" t="n">
        <x:f>H175*I175</x:f>
        <x:v>4554.24</x:v>
      </x:c>
      <x:c r="O175" s="11" t="n">
        <x:f>ROUND(N175-J175,2)</x:f>
        <x:v>0</x:v>
      </x:c>
    </x:row>
    <x:row r="176" ht="84" customHeight="1">
      <x:c r="A176" s="8" t="str">
        <x:v>ED-0005</x:v>
      </x:c>
      <x:c r="B176" s="8" t="str">
        <x:v>Diamantino</x:v>
      </x:c>
      <x:c r="C176" s="8" t="str">
        <x:v>Nortelândia</x:v>
      </x:c>
      <x:c r="D176" s="8" t="n">
        <x:v>18</x:v>
      </x:c>
      <x:c r="E176" s="8" t="str">
        <x:v>CEBOLINHA</x:v>
      </x:c>
      <x:c r="F176" s="8" t="str">
        <x:v>CEBOLINHA, verde, com folhas</x:v>
      </x:c>
      <x:c r="G176" s="8" t="str">
        <x:v>Quilograma</x:v>
      </x:c>
      <x:c r="H176" s="11" t="n">
        <x:v>107</x:v>
      </x:c>
      <x:c r="I176" s="11" t="n">
        <x:v>29.5</x:v>
      </x:c>
      <x:c r="J176" s="11" t="n">
        <x:v>3156.5</x:v>
      </x:c>
      <x:c r="K176" s="11" t="n">
        <x:v>8</x:v>
      </x:c>
      <x:c r="L176" s="11" t="str">
        <x:v>Extração parcial do início da descrição; conferir unidade/descrição completa no PDF.</x:v>
      </x:c>
      <x:c r="M176" s="11" t="str">
        <x:v>DOC-0005</x:v>
      </x:c>
      <x:c r="N176" s="11" t="n">
        <x:f>H176*I176</x:f>
        <x:v>3156.5</x:v>
      </x:c>
      <x:c r="O176" s="11" t="n">
        <x:f>ROUND(N176-J176,2)</x:f>
        <x:v>0</x:v>
      </x:c>
    </x:row>
    <x:row r="177" ht="84" customHeight="1">
      <x:c r="A177" s="8" t="str">
        <x:v>ED-0005</x:v>
      </x:c>
      <x:c r="B177" s="8" t="str">
        <x:v>Diamantino</x:v>
      </x:c>
      <x:c r="C177" s="8" t="str">
        <x:v>Nortelândia</x:v>
      </x:c>
      <x:c r="D177" s="8" t="n">
        <x:v>19</x:v>
      </x:c>
      <x:c r="E177" s="8" t="str">
        <x:v>CENOURA</x:v>
      </x:c>
      <x:c r="F177" s="8" t="str">
        <x:v>CENOURA, inteira, livre de sujidades,</x:v>
      </x:c>
      <x:c r="G177" s="8" t="str">
        <x:v>Quilograma</x:v>
      </x:c>
      <x:c r="H177" s="11" t="n">
        <x:v>283</x:v>
      </x:c>
      <x:c r="I177" s="11" t="n">
        <x:v>8.98</x:v>
      </x:c>
      <x:c r="J177" s="11" t="n">
        <x:v>2541.34</x:v>
      </x:c>
      <x:c r="K177" s="11" t="n">
        <x:v>8</x:v>
      </x:c>
      <x:c r="L177" s="11" t="str">
        <x:v>Extração parcial do início da descrição; conferir unidade/descrição completa no PDF.</x:v>
      </x:c>
      <x:c r="M177" s="11" t="str">
        <x:v>DOC-0005</x:v>
      </x:c>
      <x:c r="N177" s="11" t="n">
        <x:f>H177*I177</x:f>
        <x:v>2541.34</x:v>
      </x:c>
      <x:c r="O177" s="11" t="n">
        <x:f>ROUND(N177-J177,2)</x:f>
        <x:v>0</x:v>
      </x:c>
    </x:row>
    <x:row r="178" ht="84" customHeight="1">
      <x:c r="A178" s="8" t="str">
        <x:v>ED-0005</x:v>
      </x:c>
      <x:c r="B178" s="8" t="str">
        <x:v>Diamantino</x:v>
      </x:c>
      <x:c r="C178" s="8" t="str">
        <x:v>Nortelândia</x:v>
      </x:c>
      <x:c r="D178" s="8" t="n">
        <x:v>20</x:v>
      </x:c>
      <x:c r="E178" s="8" t="str">
        <x:v>COENTRO</x:v>
      </x:c>
      <x:c r="F178" s="8" t="str">
        <x:v>COENTRO, com talos e folhas</x:v>
      </x:c>
      <x:c r="G178" s="8" t="str">
        <x:v>Quilograma</x:v>
      </x:c>
      <x:c r="H178" s="11" t="n">
        <x:v>8</x:v>
      </x:c>
      <x:c r="I178" s="11" t="n">
        <x:v>34.06</x:v>
      </x:c>
      <x:c r="J178" s="11" t="n">
        <x:v>272.48</x:v>
      </x:c>
      <x:c r="K178" s="11" t="n">
        <x:v>8</x:v>
      </x:c>
      <x:c r="L178" s="11" t="str">
        <x:v>Extração parcial do início da descrição; conferir unidade/descrição completa no PDF.</x:v>
      </x:c>
      <x:c r="M178" s="11" t="str">
        <x:v>DOC-0005</x:v>
      </x:c>
      <x:c r="N178" s="11" t="n">
        <x:f>H178*I178</x:f>
        <x:v>272.48</x:v>
      </x:c>
      <x:c r="O178" s="11" t="n">
        <x:f>ROUND(N178-J178,2)</x:f>
        <x:v>0</x:v>
      </x:c>
    </x:row>
    <x:row r="179" ht="84" customHeight="1">
      <x:c r="A179" s="8" t="str">
        <x:v>ED-0005</x:v>
      </x:c>
      <x:c r="B179" s="8" t="str">
        <x:v>Diamantino</x:v>
      </x:c>
      <x:c r="C179" s="8" t="str">
        <x:v>Nortelândia</x:v>
      </x:c>
      <x:c r="D179" s="8" t="n">
        <x:v>21</x:v>
      </x:c>
      <x:c r="E179" s="8" t="str">
        <x:v>COLORAU</x:v>
      </x:c>
      <x:c r="F179" s="8" t="str">
        <x:v>COLORAU, corante, natural de</x:v>
      </x:c>
      <x:c r="G179" s="8" t="str">
        <x:v>Unidade de</x:v>
      </x:c>
      <x:c r="H179" s="11" t="n">
        <x:v>1013</x:v>
      </x:c>
      <x:c r="I179" s="11" t="n">
        <x:v>3.54</x:v>
      </x:c>
      <x:c r="J179" s="11" t="n">
        <x:v>3586.02</x:v>
      </x:c>
      <x:c r="K179" s="11" t="n">
        <x:v>9</x:v>
      </x:c>
      <x:c r="L179" s="11" t="str">
        <x:v>Extração parcial do início da descrição; conferir unidade/descrição completa no PDF.</x:v>
      </x:c>
      <x:c r="M179" s="11" t="str">
        <x:v>DOC-0005</x:v>
      </x:c>
      <x:c r="N179" s="11" t="n">
        <x:f>H179*I179</x:f>
        <x:v>3586.02</x:v>
      </x:c>
      <x:c r="O179" s="11" t="n">
        <x:f>ROUND(N179-J179,2)</x:f>
        <x:v>0</x:v>
      </x:c>
    </x:row>
    <x:row r="180" ht="84" customHeight="1">
      <x:c r="A180" s="8" t="str">
        <x:v>ED-0005</x:v>
      </x:c>
      <x:c r="B180" s="8" t="str">
        <x:v>Diamantino</x:v>
      </x:c>
      <x:c r="C180" s="8" t="str">
        <x:v>Nortelândia</x:v>
      </x:c>
      <x:c r="D180" s="8" t="n">
        <x:v>22</x:v>
      </x:c>
      <x:c r="E180" s="8" t="str">
        <x:v>COUVE</x:v>
      </x:c>
      <x:c r="F180" s="8" t="str">
        <x:v>COUVE, manteiga com folhas inteiras,</x:v>
      </x:c>
      <x:c r="G180" s="8" t="str">
        <x:v>Quilograma</x:v>
      </x:c>
      <x:c r="H180" s="11" t="n">
        <x:v>402</x:v>
      </x:c>
      <x:c r="I180" s="11" t="n">
        <x:v>28.48</x:v>
      </x:c>
      <x:c r="J180" s="11" t="n">
        <x:v>11448.96</x:v>
      </x:c>
      <x:c r="K180" s="11" t="n">
        <x:v>9</x:v>
      </x:c>
      <x:c r="L180" s="11" t="str">
        <x:v>Extração parcial do início da descrição; conferir unidade/descrição completa no PDF.</x:v>
      </x:c>
      <x:c r="M180" s="11" t="str">
        <x:v>DOC-0005</x:v>
      </x:c>
      <x:c r="N180" s="11" t="n">
        <x:f>H180*I180</x:f>
        <x:v>11448.960000000001</x:v>
      </x:c>
      <x:c r="O180" s="11" t="n">
        <x:f>ROUND(N180-J180,2)</x:f>
        <x:v>0</x:v>
      </x:c>
    </x:row>
    <x:row r="181" ht="84" customHeight="1">
      <x:c r="A181" s="8" t="str">
        <x:v>ED-0005</x:v>
      </x:c>
      <x:c r="B181" s="8" t="str">
        <x:v>Diamantino</x:v>
      </x:c>
      <x:c r="C181" s="8" t="str">
        <x:v>Nortelândia</x:v>
      </x:c>
      <x:c r="D181" s="8" t="n">
        <x:v>23</x:v>
      </x:c>
      <x:c r="E181" s="8" t="str">
        <x:v>FARINHA DE MANDIOCA</x:v>
      </x:c>
      <x:c r="F181" s="8" t="str">
        <x:v>FARINHA DE MANDIOCA, do tipo</x:v>
      </x:c>
      <x:c r="G181" s="8" t="str">
        <x:v>Unidade de</x:v>
      </x:c>
      <x:c r="H181" s="11" t="n">
        <x:v>153</x:v>
      </x:c>
      <x:c r="I181" s="11" t="n">
        <x:v>9.34</x:v>
      </x:c>
      <x:c r="J181" s="11" t="n">
        <x:v>1429.02</x:v>
      </x:c>
      <x:c r="K181" s="11" t="n">
        <x:v>9</x:v>
      </x:c>
      <x:c r="L181" s="11" t="str">
        <x:v>Extração parcial do início da descrição; conferir unidade/descrição completa no PDF.</x:v>
      </x:c>
      <x:c r="M181" s="11" t="str">
        <x:v>DOC-0005</x:v>
      </x:c>
      <x:c r="N181" s="11" t="n">
        <x:f>H181*I181</x:f>
        <x:v>1429.02</x:v>
      </x:c>
      <x:c r="O181" s="11" t="n">
        <x:f>ROUND(N181-J181,2)</x:f>
        <x:v>0</x:v>
      </x:c>
    </x:row>
    <x:row r="182" ht="84" customHeight="1">
      <x:c r="A182" s="8" t="str">
        <x:v>ED-0005</x:v>
      </x:c>
      <x:c r="B182" s="8" t="str">
        <x:v>Diamantino</x:v>
      </x:c>
      <x:c r="C182" s="8" t="str">
        <x:v>Nortelândia</x:v>
      </x:c>
      <x:c r="D182" s="8" t="n">
        <x:v>24</x:v>
      </x:c>
      <x:c r="E182" s="8" t="str">
        <x:v>INHAME</x:v>
      </x:c>
      <x:c r="F182" s="8" t="str">
        <x:v>INHAME, in natura, tamanho e</x:v>
      </x:c>
      <x:c r="G182" s="8" t="str">
        <x:v>Quilograma</x:v>
      </x:c>
      <x:c r="H182" s="11" t="n">
        <x:v>76</x:v>
      </x:c>
      <x:c r="I182" s="11" t="n">
        <x:v>13.69</x:v>
      </x:c>
      <x:c r="J182" s="11" t="n">
        <x:v>1040.44</x:v>
      </x:c>
      <x:c r="K182" s="11" t="n">
        <x:v>10</x:v>
      </x:c>
      <x:c r="L182" s="11" t="str">
        <x:v>Extração parcial do início da descrição; conferir unidade/descrição completa no PDF.</x:v>
      </x:c>
      <x:c r="M182" s="11" t="str">
        <x:v>DOC-0005</x:v>
      </x:c>
      <x:c r="N182" s="11" t="n">
        <x:f>H182*I182</x:f>
        <x:v>1040.44</x:v>
      </x:c>
      <x:c r="O182" s="11" t="n">
        <x:f>ROUND(N182-J182,2)</x:f>
        <x:v>0</x:v>
      </x:c>
    </x:row>
    <x:row r="183" ht="84" customHeight="1">
      <x:c r="A183" s="8" t="str">
        <x:v>ED-0005</x:v>
      </x:c>
      <x:c r="B183" s="8" t="str">
        <x:v>Diamantino</x:v>
      </x:c>
      <x:c r="C183" s="8" t="str">
        <x:v>Nortelândia</x:v>
      </x:c>
      <x:c r="D183" s="8" t="n">
        <x:v>25</x:v>
      </x:c>
      <x:c r="E183" s="8" t="str">
        <x:v>LARANJA PÊRA</x:v>
      </x:c>
      <x:c r="F183" s="8" t="str">
        <x:v>LARANJA PÊRA, inteira, livre de</x:v>
      </x:c>
      <x:c r="G183" s="8" t="str">
        <x:v>Quilograma</x:v>
      </x:c>
      <x:c r="H183" s="11" t="n">
        <x:v>462</x:v>
      </x:c>
      <x:c r="I183" s="11" t="n">
        <x:v>7.24</x:v>
      </x:c>
      <x:c r="J183" s="11" t="n">
        <x:v>3344.88</x:v>
      </x:c>
      <x:c r="K183" s="11" t="n">
        <x:v>10</x:v>
      </x:c>
      <x:c r="L183" s="11" t="str">
        <x:v>Extração parcial do início da descrição; conferir unidade/descrição completa no PDF.</x:v>
      </x:c>
      <x:c r="M183" s="11" t="str">
        <x:v>DOC-0005</x:v>
      </x:c>
      <x:c r="N183" s="11" t="n">
        <x:f>H183*I183</x:f>
        <x:v>3344.88</x:v>
      </x:c>
      <x:c r="O183" s="11" t="n">
        <x:f>ROUND(N183-J183,2)</x:f>
        <x:v>0</x:v>
      </x:c>
    </x:row>
    <x:row r="184" ht="84" customHeight="1">
      <x:c r="A184" s="8" t="str">
        <x:v>ED-0005</x:v>
      </x:c>
      <x:c r="B184" s="8" t="str">
        <x:v>Diamantino</x:v>
      </x:c>
      <x:c r="C184" s="8" t="str">
        <x:v>Nortelândia</x:v>
      </x:c>
      <x:c r="D184" s="8" t="n">
        <x:v>26</x:v>
      </x:c>
      <x:c r="E184" s="8" t="str">
        <x:v>LEITE               PASTEURIZADO</x:v>
      </x:c>
      <x:c r="F184" s="8" t="str">
        <x:v>LEITE               PASTEURIZADO</x:v>
      </x:c>
      <x:c r="G184" s="8" t="str">
        <x:v>Unidade de</x:v>
      </x:c>
      <x:c r="H184" s="11" t="n">
        <x:v>2432</x:v>
      </x:c>
      <x:c r="I184" s="11" t="n">
        <x:v>8.09</x:v>
      </x:c>
      <x:c r="J184" s="11" t="n">
        <x:v>19674.88</x:v>
      </x:c>
      <x:c r="K184" s="11" t="n">
        <x:v>10</x:v>
      </x:c>
      <x:c r="L184" s="11" t="str">
        <x:v>Extração parcial do início da descrição; conferir unidade/descrição completa no PDF.</x:v>
      </x:c>
      <x:c r="M184" s="11" t="str">
        <x:v>DOC-0005</x:v>
      </x:c>
      <x:c r="N184" s="11" t="n">
        <x:f>H184*I184</x:f>
        <x:v>19674.88</x:v>
      </x:c>
      <x:c r="O184" s="11" t="n">
        <x:f>ROUND(N184-J184,2)</x:f>
        <x:v>0</x:v>
      </x:c>
    </x:row>
    <x:row r="185" ht="84" customHeight="1">
      <x:c r="A185" s="8" t="str">
        <x:v>ED-0005</x:v>
      </x:c>
      <x:c r="B185" s="8" t="str">
        <x:v>Diamantino</x:v>
      </x:c>
      <x:c r="C185" s="8" t="str">
        <x:v>Nortelândia</x:v>
      </x:c>
      <x:c r="D185" s="8" t="n">
        <x:v>27</x:v>
      </x:c>
      <x:c r="E185" s="8" t="str">
        <x:v>LIMÃO TAHITI</x:v>
      </x:c>
      <x:c r="F185" s="8" t="str">
        <x:v>LIMÃO TAHITI, inteiro, livre de</x:v>
      </x:c>
      <x:c r="G185" s="8" t="str">
        <x:v>Quilograma</x:v>
      </x:c>
      <x:c r="H185" s="11" t="n">
        <x:v>68</x:v>
      </x:c>
      <x:c r="I185" s="11" t="n">
        <x:v>12.65</x:v>
      </x:c>
      <x:c r="J185" s="11" t="n">
        <x:v>860.2</x:v>
      </x:c>
      <x:c r="K185" s="11" t="n">
        <x:v>10</x:v>
      </x:c>
      <x:c r="L185" s="11" t="str">
        <x:v>Extração parcial do início da descrição; conferir unidade/descrição completa no PDF.</x:v>
      </x:c>
      <x:c r="M185" s="11" t="str">
        <x:v>DOC-0005</x:v>
      </x:c>
      <x:c r="N185" s="11" t="n">
        <x:f>H185*I185</x:f>
        <x:v>860.2</x:v>
      </x:c>
      <x:c r="O185" s="11" t="n">
        <x:f>ROUND(N185-J185,2)</x:f>
        <x:v>0</x:v>
      </x:c>
    </x:row>
    <x:row r="186" ht="84" customHeight="1">
      <x:c r="A186" s="8" t="str">
        <x:v>ED-0005</x:v>
      </x:c>
      <x:c r="B186" s="8" t="str">
        <x:v>Diamantino</x:v>
      </x:c>
      <x:c r="C186" s="8" t="str">
        <x:v>Nortelândia</x:v>
      </x:c>
      <x:c r="D186" s="8" t="n">
        <x:v>28</x:v>
      </x:c>
      <x:c r="E186" s="8" t="str">
        <x:v>MAMÃO FORMOSA</x:v>
      </x:c>
      <x:c r="F186" s="8" t="str">
        <x:v>MAMÃO FORMOSA, livre de</x:v>
      </x:c>
      <x:c r="G186" s="8" t="str">
        <x:v>Quilograma</x:v>
      </x:c>
      <x:c r="H186" s="11" t="n">
        <x:v>198</x:v>
      </x:c>
      <x:c r="I186" s="11" t="n">
        <x:v>12.51</x:v>
      </x:c>
      <x:c r="J186" s="11" t="n">
        <x:v>2476.98</x:v>
      </x:c>
      <x:c r="K186" s="11" t="n">
        <x:v>11</x:v>
      </x:c>
      <x:c r="L186" s="11" t="str">
        <x:v>Extração parcial do início da descrição; conferir unidade/descrição completa no PDF.</x:v>
      </x:c>
      <x:c r="M186" s="11" t="str">
        <x:v>DOC-0005</x:v>
      </x:c>
      <x:c r="N186" s="11" t="n">
        <x:f>H186*I186</x:f>
        <x:v>2476.98</x:v>
      </x:c>
      <x:c r="O186" s="11" t="n">
        <x:f>ROUND(N186-J186,2)</x:f>
        <x:v>0</x:v>
      </x:c>
    </x:row>
    <x:row r="187" ht="84" customHeight="1">
      <x:c r="A187" s="8" t="str">
        <x:v>ED-0005</x:v>
      </x:c>
      <x:c r="B187" s="8" t="str">
        <x:v>Diamantino</x:v>
      </x:c>
      <x:c r="C187" s="8" t="str">
        <x:v>Nortelândia</x:v>
      </x:c>
      <x:c r="D187" s="8" t="n">
        <x:v>29</x:v>
      </x:c>
      <x:c r="E187" s="8" t="str">
        <x:v>MANDIOCA                DESCASCADA</x:v>
      </x:c>
      <x:c r="F187" s="8" t="str">
        <x:v>MANDIOCA                DESCASCADA</x:v>
      </x:c>
      <x:c r="G187" s="8" t="str">
        <x:v>Unidade de</x:v>
      </x:c>
      <x:c r="H187" s="11" t="n">
        <x:v>203</x:v>
      </x:c>
      <x:c r="I187" s="11" t="n">
        <x:v>12.78</x:v>
      </x:c>
      <x:c r="J187" s="11" t="n">
        <x:v>2594.34</x:v>
      </x:c>
      <x:c r="K187" s="11" t="n">
        <x:v>11</x:v>
      </x:c>
      <x:c r="L187" s="11" t="str">
        <x:v>Extração parcial do início da descrição; conferir unidade/descrição completa no PDF.</x:v>
      </x:c>
      <x:c r="M187" s="11" t="str">
        <x:v>DOC-0005</x:v>
      </x:c>
      <x:c r="N187" s="11" t="n">
        <x:f>H187*I187</x:f>
        <x:v>2594.3399999999997</x:v>
      </x:c>
      <x:c r="O187" s="11" t="n">
        <x:f>ROUND(N187-J187,2)</x:f>
        <x:v>0</x:v>
      </x:c>
    </x:row>
    <x:row r="188" ht="84" customHeight="1">
      <x:c r="A188" s="8" t="str">
        <x:v>ED-0005</x:v>
      </x:c>
      <x:c r="B188" s="8" t="str">
        <x:v>Diamantino</x:v>
      </x:c>
      <x:c r="C188" s="8" t="str">
        <x:v>Nortelândia</x:v>
      </x:c>
      <x:c r="D188" s="8" t="n">
        <x:v>30</x:v>
      </x:c>
      <x:c r="E188" s="8" t="str">
        <x:v>MANTEIGA PURA COM SAL</x:v>
      </x:c>
      <x:c r="F188" s="8" t="str">
        <x:v>MANTEIGA PURA COM SAL,</x:v>
      </x:c>
      <x:c r="G188" s="8" t="str">
        <x:v>Unidade de</x:v>
      </x:c>
      <x:c r="H188" s="11" t="n">
        <x:v>337</x:v>
      </x:c>
      <x:c r="I188" s="11" t="n">
        <x:v>33.49</x:v>
      </x:c>
      <x:c r="J188" s="11" t="n">
        <x:v>11286.13</x:v>
      </x:c>
      <x:c r="K188" s="11" t="n">
        <x:v>12</x:v>
      </x:c>
      <x:c r="L188" s="11" t="str">
        <x:v>Extração parcial do início da descrição; conferir unidade/descrição completa no PDF.</x:v>
      </x:c>
      <x:c r="M188" s="11" t="str">
        <x:v>DOC-0005</x:v>
      </x:c>
      <x:c r="N188" s="11" t="n">
        <x:f>H188*I188</x:f>
        <x:v>11286.130000000001</x:v>
      </x:c>
      <x:c r="O188" s="11" t="n">
        <x:f>ROUND(N188-J188,2)</x:f>
        <x:v>0</x:v>
      </x:c>
    </x:row>
    <x:row r="189" ht="84" customHeight="1">
      <x:c r="A189" s="8" t="str">
        <x:v>ED-0005</x:v>
      </x:c>
      <x:c r="B189" s="8" t="str">
        <x:v>Diamantino</x:v>
      </x:c>
      <x:c r="C189" s="8" t="str">
        <x:v>Nortelândia</x:v>
      </x:c>
      <x:c r="D189" s="8" t="n">
        <x:v>31</x:v>
      </x:c>
      <x:c r="E189" s="8" t="str">
        <x:v>MELANCIA</x:v>
      </x:c>
      <x:c r="F189" s="8" t="str">
        <x:v>MELANCIA,          inteira,    livre    de</x:v>
      </x:c>
      <x:c r="G189" s="8" t="str">
        <x:v>Quilograma</x:v>
      </x:c>
      <x:c r="H189" s="11" t="n">
        <x:v>330</x:v>
      </x:c>
      <x:c r="I189" s="11" t="n">
        <x:v>4.49</x:v>
      </x:c>
      <x:c r="J189" s="11" t="n">
        <x:v>1481.7</x:v>
      </x:c>
      <x:c r="K189" s="11" t="n">
        <x:v>12</x:v>
      </x:c>
      <x:c r="L189" s="11" t="str">
        <x:v>Extração parcial do início da descrição; conferir unidade/descrição completa no PDF.</x:v>
      </x:c>
      <x:c r="M189" s="11" t="str">
        <x:v>DOC-0005</x:v>
      </x:c>
      <x:c r="N189" s="11" t="n">
        <x:f>H189*I189</x:f>
        <x:v>1481.7</x:v>
      </x:c>
      <x:c r="O189" s="11" t="n">
        <x:f>ROUND(N189-J189,2)</x:f>
        <x:v>0</x:v>
      </x:c>
    </x:row>
    <x:row r="190" ht="84" customHeight="1">
      <x:c r="A190" s="8" t="str">
        <x:v>ED-0005</x:v>
      </x:c>
      <x:c r="B190" s="8" t="str">
        <x:v>Diamantino</x:v>
      </x:c>
      <x:c r="C190" s="8" t="str">
        <x:v>Nortelândia</x:v>
      </x:c>
      <x:c r="D190" s="8" t="n">
        <x:v>33</x:v>
      </x:c>
      <x:c r="E190" s="8" t="str">
        <x:v>PÃO CASEIRO</x:v>
      </x:c>
      <x:c r="F190" s="8" t="str">
        <x:v>PÃO CASEIRO, de boa qualidade,</x:v>
      </x:c>
      <x:c r="G190" s="8" t="str">
        <x:v>Quilograma</x:v>
      </x:c>
      <x:c r="H190" s="11" t="n">
        <x:v>864</x:v>
      </x:c>
      <x:c r="I190" s="11" t="n">
        <x:v>24</x:v>
      </x:c>
      <x:c r="J190" s="11" t="n">
        <x:v>20736</x:v>
      </x:c>
      <x:c r="K190" s="11" t="n">
        <x:v>13</x:v>
      </x:c>
      <x:c r="L190" s="11" t="str">
        <x:v>Extração parcial do início da descrição; conferir unidade/descrição completa no PDF.</x:v>
      </x:c>
      <x:c r="M190" s="11" t="str">
        <x:v>DOC-0005</x:v>
      </x:c>
      <x:c r="N190" s="11" t="n">
        <x:f>H190*I190</x:f>
        <x:v>20736</x:v>
      </x:c>
      <x:c r="O190" s="11" t="n">
        <x:f>ROUND(N190-J190,2)</x:f>
        <x:v>0</x:v>
      </x:c>
    </x:row>
    <x:row r="191" ht="84" customHeight="1">
      <x:c r="A191" s="8" t="str">
        <x:v>ED-0005</x:v>
      </x:c>
      <x:c r="B191" s="8" t="str">
        <x:v>Diamantino</x:v>
      </x:c>
      <x:c r="C191" s="8" t="str">
        <x:v>Nortelândia</x:v>
      </x:c>
      <x:c r="D191" s="8" t="n">
        <x:v>34</x:v>
      </x:c>
      <x:c r="E191" s="8" t="str">
        <x:v>PEIXE PINTADO FILÉ</x:v>
      </x:c>
      <x:c r="F191" s="8" t="str">
        <x:v>PEIXE PINTADO FILÉ, de água</x:v>
      </x:c>
      <x:c r="G191" s="8" t="str">
        <x:v>Unidade de</x:v>
      </x:c>
      <x:c r="H191" s="11" t="n">
        <x:v>124</x:v>
      </x:c>
      <x:c r="I191" s="11" t="n">
        <x:v>72.52</x:v>
      </x:c>
      <x:c r="J191" s="11" t="n">
        <x:v>8992.48</x:v>
      </x:c>
      <x:c r="K191" s="11" t="n">
        <x:v>13</x:v>
      </x:c>
      <x:c r="L191" s="11" t="str">
        <x:v>Extração parcial do início da descrição; conferir unidade/descrição completa no PDF.</x:v>
      </x:c>
      <x:c r="M191" s="11" t="str">
        <x:v>DOC-0005</x:v>
      </x:c>
      <x:c r="N191" s="11" t="n">
        <x:f>H191*I191</x:f>
        <x:v>8992.48</x:v>
      </x:c>
      <x:c r="O191" s="11" t="n">
        <x:f>ROUND(N191-J191,2)</x:f>
        <x:v>0</x:v>
      </x:c>
    </x:row>
    <x:row r="192" ht="84" customHeight="1">
      <x:c r="A192" s="8" t="str">
        <x:v>ED-0005</x:v>
      </x:c>
      <x:c r="B192" s="8" t="str">
        <x:v>Diamantino</x:v>
      </x:c>
      <x:c r="C192" s="8" t="str">
        <x:v>Nortelândia</x:v>
      </x:c>
      <x:c r="D192" s="8" t="n">
        <x:v>35</x:v>
      </x:c>
      <x:c r="E192" s="8" t="str">
        <x:v>PEIXE TILÁPIA FILÉ</x:v>
      </x:c>
      <x:c r="F192" s="8" t="str">
        <x:v>PEIXE TILÁPIA FILÉ, peixe de água</x:v>
      </x:c>
      <x:c r="G192" s="8" t="str">
        <x:v>Unidade de</x:v>
      </x:c>
      <x:c r="H192" s="11" t="n">
        <x:v>123</x:v>
      </x:c>
      <x:c r="I192" s="11" t="n">
        <x:v>68.87</x:v>
      </x:c>
      <x:c r="J192" s="11" t="n">
        <x:v>8471.01</x:v>
      </x:c>
      <x:c r="K192" s="11" t="n">
        <x:v>13</x:v>
      </x:c>
      <x:c r="L192" s="11" t="str">
        <x:v>Extração parcial do início da descrição; conferir unidade/descrição completa no PDF.</x:v>
      </x:c>
      <x:c r="M192" s="11" t="str">
        <x:v>DOC-0005</x:v>
      </x:c>
      <x:c r="N192" s="11" t="n">
        <x:f>H192*I192</x:f>
        <x:v>8471.01</x:v>
      </x:c>
      <x:c r="O192" s="11" t="n">
        <x:f>ROUND(N192-J192,2)</x:f>
        <x:v>0</x:v>
      </x:c>
    </x:row>
    <x:row r="193" ht="84" customHeight="1">
      <x:c r="A193" s="8" t="str">
        <x:v>ED-0005</x:v>
      </x:c>
      <x:c r="B193" s="8" t="str">
        <x:v>Diamantino</x:v>
      </x:c>
      <x:c r="C193" s="8" t="str">
        <x:v>Nortelândia</x:v>
      </x:c>
      <x:c r="D193" s="8" t="n">
        <x:v>36</x:v>
      </x:c>
      <x:c r="E193" s="8" t="str">
        <x:v>PEPINO</x:v>
      </x:c>
      <x:c r="F193" s="8" t="str">
        <x:v>PEPINO, inteiro, livre de sujidades,</x:v>
      </x:c>
      <x:c r="G193" s="8" t="str">
        <x:v>Quilograma</x:v>
      </x:c>
      <x:c r="H193" s="11" t="n">
        <x:v>76</x:v>
      </x:c>
      <x:c r="I193" s="11" t="n">
        <x:v>7.63</x:v>
      </x:c>
      <x:c r="J193" s="11" t="n">
        <x:v>579.88</x:v>
      </x:c>
      <x:c r="K193" s="11" t="n">
        <x:v>14</x:v>
      </x:c>
      <x:c r="L193" s="11" t="str">
        <x:v>Extração parcial do início da descrição; conferir unidade/descrição completa no PDF.</x:v>
      </x:c>
      <x:c r="M193" s="11" t="str">
        <x:v>DOC-0005</x:v>
      </x:c>
      <x:c r="N193" s="11" t="n">
        <x:f>H193*I193</x:f>
        <x:v>579.88</x:v>
      </x:c>
      <x:c r="O193" s="11" t="n">
        <x:f>ROUND(N193-J193,2)</x:f>
        <x:v>0</x:v>
      </x:c>
    </x:row>
    <x:row r="194" ht="84" customHeight="1">
      <x:c r="A194" s="8" t="str">
        <x:v>ED-0005</x:v>
      </x:c>
      <x:c r="B194" s="8" t="str">
        <x:v>Diamantino</x:v>
      </x:c>
      <x:c r="C194" s="8" t="str">
        <x:v>Nortelândia</x:v>
      </x:c>
      <x:c r="D194" s="8" t="n">
        <x:v>38</x:v>
      </x:c>
      <x:c r="E194" s="8" t="str">
        <x:v>PIMENTA DE CHEIRO</x:v>
      </x:c>
      <x:c r="F194" s="8" t="str">
        <x:v>PIMENTA DE CHEIRO, inteira, livre</x:v>
      </x:c>
      <x:c r="G194" s="8" t="str">
        <x:v>Quilograma</x:v>
      </x:c>
      <x:c r="H194" s="11" t="n">
        <x:v>22</x:v>
      </x:c>
      <x:c r="I194" s="11" t="n">
        <x:v>45.03</x:v>
      </x:c>
      <x:c r="J194" s="11" t="n">
        <x:v>990.66</x:v>
      </x:c>
      <x:c r="K194" s="11" t="n">
        <x:v>14</x:v>
      </x:c>
      <x:c r="L194" s="11" t="str">
        <x:v>Extração parcial do início da descrição; conferir unidade/descrição completa no PDF.</x:v>
      </x:c>
      <x:c r="M194" s="11" t="str">
        <x:v>DOC-0005</x:v>
      </x:c>
      <x:c r="N194" s="11" t="n">
        <x:f>H194*I194</x:f>
        <x:v>990.6600000000001</x:v>
      </x:c>
      <x:c r="O194" s="11" t="n">
        <x:f>ROUND(N194-J194,2)</x:f>
        <x:v>0</x:v>
      </x:c>
    </x:row>
    <x:row r="195" ht="84" customHeight="1">
      <x:c r="A195" s="8" t="str">
        <x:v>ED-0005</x:v>
      </x:c>
      <x:c r="B195" s="8" t="str">
        <x:v>Diamantino</x:v>
      </x:c>
      <x:c r="C195" s="8" t="str">
        <x:v>Nortelândia</x:v>
      </x:c>
      <x:c r="D195" s="8" t="n">
        <x:v>39</x:v>
      </x:c>
      <x:c r="E195" s="8" t="str">
        <x:v>PIMENTÃO VERDE</x:v>
      </x:c>
      <x:c r="F195" s="8" t="str">
        <x:v>PIMENTÃO VERDE, inteiro, livre de</x:v>
      </x:c>
      <x:c r="G195" s="8" t="str">
        <x:v>Quilograma</x:v>
      </x:c>
      <x:c r="H195" s="11" t="n">
        <x:v>21</x:v>
      </x:c>
      <x:c r="I195" s="11" t="n">
        <x:v>11.77</x:v>
      </x:c>
      <x:c r="J195" s="11" t="n">
        <x:v>247.17</x:v>
      </x:c>
      <x:c r="K195" s="11" t="n">
        <x:v>14</x:v>
      </x:c>
      <x:c r="L195" s="11" t="str">
        <x:v>Extração parcial do início da descrição; conferir unidade/descrição completa no PDF.</x:v>
      </x:c>
      <x:c r="M195" s="11" t="str">
        <x:v>DOC-0005</x:v>
      </x:c>
      <x:c r="N195" s="11" t="n">
        <x:f>H195*I195</x:f>
        <x:v>247.17</x:v>
      </x:c>
      <x:c r="O195" s="11" t="n">
        <x:f>ROUND(N195-J195,2)</x:f>
        <x:v>0</x:v>
      </x:c>
    </x:row>
    <x:row r="196" ht="84" customHeight="1">
      <x:c r="A196" s="8" t="str">
        <x:v>ED-0005</x:v>
      </x:c>
      <x:c r="B196" s="8" t="str">
        <x:v>Diamantino</x:v>
      </x:c>
      <x:c r="C196" s="8" t="str">
        <x:v>Nortelândia</x:v>
      </x:c>
      <x:c r="D196" s="8" t="n">
        <x:v>40</x:v>
      </x:c>
      <x:c r="E196" s="8" t="str">
        <x:v>POLPA DE ABACAXI</x:v>
      </x:c>
      <x:c r="F196" s="8" t="str">
        <x:v>POLPA DE ABACAXI, SEM adição</x:v>
      </x:c>
      <x:c r="G196" s="8" t="str">
        <x:v>Unidade de</x:v>
      </x:c>
      <x:c r="H196" s="11" t="n">
        <x:v>315</x:v>
      </x:c>
      <x:c r="I196" s="11" t="n">
        <x:v>31.89</x:v>
      </x:c>
      <x:c r="J196" s="11" t="n">
        <x:v>10045.35</x:v>
      </x:c>
      <x:c r="K196" s="11" t="n">
        <x:v>15</x:v>
      </x:c>
      <x:c r="L196" s="11" t="str">
        <x:v>Extração parcial do início da descrição; conferir unidade/descrição completa no PDF.</x:v>
      </x:c>
      <x:c r="M196" s="11" t="str">
        <x:v>DOC-0005</x:v>
      </x:c>
      <x:c r="N196" s="11" t="n">
        <x:f>H196*I196</x:f>
        <x:v>10045.35</x:v>
      </x:c>
      <x:c r="O196" s="11" t="n">
        <x:f>ROUND(N196-J196,2)</x:f>
        <x:v>0</x:v>
      </x:c>
    </x:row>
    <x:row r="197" ht="84" customHeight="1">
      <x:c r="A197" s="8" t="str">
        <x:v>ED-0005</x:v>
      </x:c>
      <x:c r="B197" s="8" t="str">
        <x:v>Diamantino</x:v>
      </x:c>
      <x:c r="C197" s="8" t="str">
        <x:v>Nortelândia</x:v>
      </x:c>
      <x:c r="D197" s="8" t="n">
        <x:v>41</x:v>
      </x:c>
      <x:c r="E197" s="8" t="str">
        <x:v>POLPA DE ACEROLA</x:v>
      </x:c>
      <x:c r="F197" s="8" t="str">
        <x:v>POLPA DE ACEROLA, SEM adição</x:v>
      </x:c>
      <x:c r="G197" s="8" t="str">
        <x:v>Unidade de</x:v>
      </x:c>
      <x:c r="H197" s="11" t="n">
        <x:v>314</x:v>
      </x:c>
      <x:c r="I197" s="11" t="n">
        <x:v>30.91</x:v>
      </x:c>
      <x:c r="J197" s="11" t="n">
        <x:v>9705.74</x:v>
      </x:c>
      <x:c r="K197" s="11" t="n">
        <x:v>15</x:v>
      </x:c>
      <x:c r="L197" s="11" t="str">
        <x:v>Extração parcial do início da descrição; conferir unidade/descrição completa no PDF.</x:v>
      </x:c>
      <x:c r="M197" s="11" t="str">
        <x:v>DOC-0005</x:v>
      </x:c>
      <x:c r="N197" s="11" t="n">
        <x:f>H197*I197</x:f>
        <x:v>9705.74</x:v>
      </x:c>
      <x:c r="O197" s="11" t="n">
        <x:f>ROUND(N197-J197,2)</x:f>
        <x:v>0</x:v>
      </x:c>
    </x:row>
    <x:row r="198" ht="84" customHeight="1">
      <x:c r="A198" s="8" t="str">
        <x:v>ED-0005</x:v>
      </x:c>
      <x:c r="B198" s="8" t="str">
        <x:v>Diamantino</x:v>
      </x:c>
      <x:c r="C198" s="8" t="str">
        <x:v>Nortelândia</x:v>
      </x:c>
      <x:c r="D198" s="8" t="n">
        <x:v>42</x:v>
      </x:c>
      <x:c r="E198" s="8" t="str">
        <x:v>POLPA DE CAJÚ</x:v>
      </x:c>
      <x:c r="F198" s="8" t="str">
        <x:v>POLPA DE CAJÚ, SEM adição de</x:v>
      </x:c>
      <x:c r="G198" s="8" t="str">
        <x:v>Unidade de</x:v>
      </x:c>
      <x:c r="H198" s="11" t="n">
        <x:v>314</x:v>
      </x:c>
      <x:c r="I198" s="11" t="n">
        <x:v>29.28</x:v>
      </x:c>
      <x:c r="J198" s="11" t="n">
        <x:v>9193.92</x:v>
      </x:c>
      <x:c r="K198" s="11" t="n">
        <x:v>16</x:v>
      </x:c>
      <x:c r="L198" s="11" t="str">
        <x:v>Extração parcial do início da descrição; conferir unidade/descrição completa no PDF.</x:v>
      </x:c>
      <x:c r="M198" s="11" t="str">
        <x:v>DOC-0005</x:v>
      </x:c>
      <x:c r="N198" s="11" t="n">
        <x:f>H198*I198</x:f>
        <x:v>9193.92</x:v>
      </x:c>
      <x:c r="O198" s="11" t="n">
        <x:f>ROUND(N198-J198,2)</x:f>
        <x:v>0</x:v>
      </x:c>
    </x:row>
    <x:row r="199" ht="84" customHeight="1">
      <x:c r="A199" s="8" t="str">
        <x:v>ED-0005</x:v>
      </x:c>
      <x:c r="B199" s="8" t="str">
        <x:v>Diamantino</x:v>
      </x:c>
      <x:c r="C199" s="8" t="str">
        <x:v>Nortelândia</x:v>
      </x:c>
      <x:c r="D199" s="8" t="n">
        <x:v>43</x:v>
      </x:c>
      <x:c r="E199" s="8" t="str">
        <x:v>PONCÃ</x:v>
      </x:c>
      <x:c r="F199" s="8" t="str">
        <x:v>PONCÃ, inteiro, livre de sujidades,</x:v>
      </x:c>
      <x:c r="G199" s="8" t="str">
        <x:v>Quilograma</x:v>
      </x:c>
      <x:c r="H199" s="11" t="n">
        <x:v>171</x:v>
      </x:c>
      <x:c r="I199" s="11" t="n">
        <x:v>15.2</x:v>
      </x:c>
      <x:c r="J199" s="11" t="n">
        <x:v>2599.2</x:v>
      </x:c>
      <x:c r="K199" s="11" t="n">
        <x:v>16</x:v>
      </x:c>
      <x:c r="L199" s="11" t="str">
        <x:v>Extração parcial do início da descrição; conferir unidade/descrição completa no PDF.</x:v>
      </x:c>
      <x:c r="M199" s="11" t="str">
        <x:v>DOC-0005</x:v>
      </x:c>
      <x:c r="N199" s="11" t="n">
        <x:f>H199*I199</x:f>
        <x:v>2599.2</x:v>
      </x:c>
      <x:c r="O199" s="11" t="n">
        <x:f>ROUND(N199-J199,2)</x:f>
        <x:v>0</x:v>
      </x:c>
    </x:row>
    <x:row r="200" ht="84" customHeight="1">
      <x:c r="A200" s="8" t="str">
        <x:v>ED-0005</x:v>
      </x:c>
      <x:c r="B200" s="8" t="str">
        <x:v>Diamantino</x:v>
      </x:c>
      <x:c r="C200" s="8" t="str">
        <x:v>Nortelândia</x:v>
      </x:c>
      <x:c r="D200" s="8" t="n">
        <x:v>44</x:v>
      </x:c>
      <x:c r="E200" s="8" t="str">
        <x:v>QUEIJO        MUSSARELA</x:v>
      </x:c>
      <x:c r="F200" s="8" t="str">
        <x:v>QUEIJO        MUSSARELA,           obtido</x:v>
      </x:c>
      <x:c r="G200" s="8" t="str">
        <x:v>Quilograma</x:v>
      </x:c>
      <x:c r="H200" s="11" t="n">
        <x:v>138</x:v>
      </x:c>
      <x:c r="I200" s="11" t="n">
        <x:v>56.08</x:v>
      </x:c>
      <x:c r="J200" s="11" t="n">
        <x:v>7739.04</x:v>
      </x:c>
      <x:c r="K200" s="11" t="n">
        <x:v>16</x:v>
      </x:c>
      <x:c r="L200" s="11" t="str">
        <x:v>Extração parcial do início da descrição; conferir unidade/descrição completa no PDF.</x:v>
      </x:c>
      <x:c r="M200" s="11" t="str">
        <x:v>DOC-0005</x:v>
      </x:c>
      <x:c r="N200" s="11" t="n">
        <x:f>H200*I200</x:f>
        <x:v>7739.04</x:v>
      </x:c>
      <x:c r="O200" s="11" t="n">
        <x:f>ROUND(N200-J200,2)</x:f>
        <x:v>0</x:v>
      </x:c>
    </x:row>
    <x:row r="201" ht="84" customHeight="1">
      <x:c r="A201" s="8" t="str">
        <x:v>ED-0005</x:v>
      </x:c>
      <x:c r="B201" s="8" t="str">
        <x:v>Diamantino</x:v>
      </x:c>
      <x:c r="C201" s="8" t="str">
        <x:v>Nortelândia</x:v>
      </x:c>
      <x:c r="D201" s="8" t="n">
        <x:v>45</x:v>
      </x:c>
      <x:c r="E201" s="8" t="str">
        <x:v>REPOLHO               BRANCO/VERDE</x:v>
      </x:c>
      <x:c r="F201" s="8" t="str">
        <x:v>REPOLHO               BRANCO/VERDE,</x:v>
      </x:c>
      <x:c r="G201" s="8" t="str">
        <x:v>Quilograma</x:v>
      </x:c>
      <x:c r="H201" s="11" t="n">
        <x:v>386</x:v>
      </x:c>
      <x:c r="I201" s="11" t="n">
        <x:v>6.23</x:v>
      </x:c>
      <x:c r="J201" s="11" t="n">
        <x:v>2404.78</x:v>
      </x:c>
      <x:c r="K201" s="11" t="n">
        <x:v>17</x:v>
      </x:c>
      <x:c r="L201" s="11" t="str">
        <x:v>Extração parcial do início da descrição; conferir unidade/descrição completa no PDF.</x:v>
      </x:c>
      <x:c r="M201" s="11" t="str">
        <x:v>DOC-0005</x:v>
      </x:c>
      <x:c r="N201" s="11" t="n">
        <x:f>H201*I201</x:f>
        <x:v>2404.78</x:v>
      </x:c>
      <x:c r="O201" s="11" t="n">
        <x:f>ROUND(N201-J201,2)</x:f>
        <x:v>0</x:v>
      </x:c>
    </x:row>
    <x:row r="202" ht="84" customHeight="1">
      <x:c r="A202" s="8" t="str">
        <x:v>ED-0005</x:v>
      </x:c>
      <x:c r="B202" s="8" t="str">
        <x:v>Diamantino</x:v>
      </x:c>
      <x:c r="C202" s="8" t="str">
        <x:v>Nortelândia</x:v>
      </x:c>
      <x:c r="D202" s="8" t="n">
        <x:v>46</x:v>
      </x:c>
      <x:c r="E202" s="8" t="str">
        <x:v>REQUEIJÃO CREMOSO</x:v>
      </x:c>
      <x:c r="F202" s="8" t="str">
        <x:v>REQUEIJÃO CREMOSO, produzido</x:v>
      </x:c>
      <x:c r="G202" s="8" t="str">
        <x:v>Unidade de</x:v>
      </x:c>
      <x:c r="H202" s="11" t="n">
        <x:v>326</x:v>
      </x:c>
      <x:c r="I202" s="11" t="n">
        <x:v>11.02</x:v>
      </x:c>
      <x:c r="J202" s="11" t="n">
        <x:v>3592.52</x:v>
      </x:c>
      <x:c r="K202" s="11" t="n">
        <x:v>17</x:v>
      </x:c>
      <x:c r="L202" s="11" t="str">
        <x:v>Extração parcial do início da descrição; conferir unidade/descrição completa no PDF.</x:v>
      </x:c>
      <x:c r="M202" s="11" t="str">
        <x:v>DOC-0005</x:v>
      </x:c>
      <x:c r="N202" s="11" t="n">
        <x:f>H202*I202</x:f>
        <x:v>3592.52</x:v>
      </x:c>
      <x:c r="O202" s="11" t="n">
        <x:f>ROUND(N202-J202,2)</x:f>
        <x:v>0</x:v>
      </x:c>
    </x:row>
    <x:row r="203" ht="84" customHeight="1">
      <x:c r="A203" s="8" t="str">
        <x:v>ED-0005</x:v>
      </x:c>
      <x:c r="B203" s="8" t="str">
        <x:v>Diamantino</x:v>
      </x:c>
      <x:c r="C203" s="8" t="str">
        <x:v>Nortelândia</x:v>
      </x:c>
      <x:c r="D203" s="8" t="n">
        <x:v>47</x:v>
      </x:c>
      <x:c r="E203" s="8" t="str">
        <x:v>RÚCULA</x:v>
      </x:c>
      <x:c r="F203" s="8" t="str">
        <x:v>RÚCULA, com folhas inteiras, livre de</x:v>
      </x:c>
      <x:c r="G203" s="8" t="str">
        <x:v>Quilograma</x:v>
      </x:c>
      <x:c r="H203" s="11" t="n">
        <x:v>148</x:v>
      </x:c>
      <x:c r="I203" s="11" t="n">
        <x:v>27.38</x:v>
      </x:c>
      <x:c r="J203" s="11" t="n">
        <x:v>4052.24</x:v>
      </x:c>
      <x:c r="K203" s="11" t="n">
        <x:v>18</x:v>
      </x:c>
      <x:c r="L203" s="11" t="str">
        <x:v>Extração parcial do início da descrição; conferir unidade/descrição completa no PDF.</x:v>
      </x:c>
      <x:c r="M203" s="11" t="str">
        <x:v>DOC-0005</x:v>
      </x:c>
      <x:c r="N203" s="11" t="n">
        <x:f>H203*I203</x:f>
        <x:v>4052.24</x:v>
      </x:c>
      <x:c r="O203" s="11" t="n">
        <x:f>ROUND(N203-J203,2)</x:f>
        <x:v>0</x:v>
      </x:c>
    </x:row>
    <x:row r="204" ht="84" customHeight="1">
      <x:c r="A204" s="8" t="str">
        <x:v>ED-0005</x:v>
      </x:c>
      <x:c r="B204" s="8" t="str">
        <x:v>Diamantino</x:v>
      </x:c>
      <x:c r="C204" s="8" t="str">
        <x:v>Nortelândia</x:v>
      </x:c>
      <x:c r="D204" s="8" t="n">
        <x:v>48</x:v>
      </x:c>
      <x:c r="E204" s="8" t="str">
        <x:v>SALSA</x:v>
      </x:c>
      <x:c r="F204" s="8" t="str">
        <x:v>SALSA, com talos e folhas inteiros,</x:v>
      </x:c>
      <x:c r="G204" s="8" t="str">
        <x:v>Quilograma</x:v>
      </x:c>
      <x:c r="H204" s="11" t="n">
        <x:v>90</x:v>
      </x:c>
      <x:c r="I204" s="11" t="n">
        <x:v>28.75</x:v>
      </x:c>
      <x:c r="J204" s="11" t="n">
        <x:v>2587.5</x:v>
      </x:c>
      <x:c r="K204" s="11" t="n">
        <x:v>18</x:v>
      </x:c>
      <x:c r="L204" s="11" t="str">
        <x:v>Extração parcial do início da descrição; conferir unidade/descrição completa no PDF.</x:v>
      </x:c>
      <x:c r="M204" s="11" t="str">
        <x:v>DOC-0005</x:v>
      </x:c>
      <x:c r="N204" s="11" t="n">
        <x:f>H204*I204</x:f>
        <x:v>2587.5</x:v>
      </x:c>
      <x:c r="O204" s="11" t="n">
        <x:f>ROUND(N204-J204,2)</x:f>
        <x:v>0</x:v>
      </x:c>
    </x:row>
    <x:row r="205" ht="84" customHeight="1">
      <x:c r="A205" s="8" t="str">
        <x:v>ED-0005</x:v>
      </x:c>
      <x:c r="B205" s="8" t="str">
        <x:v>Diamantino</x:v>
      </x:c>
      <x:c r="C205" s="8" t="str">
        <x:v>Nortelândia</x:v>
      </x:c>
      <x:c r="D205" s="8" t="n">
        <x:v>49</x:v>
      </x:c>
      <x:c r="E205" s="8" t="str">
        <x:v>TOMATE SALADA</x:v>
      </x:c>
      <x:c r="F205" s="8" t="str">
        <x:v>TOMATE SALADA, inteiros, sem</x:v>
      </x:c>
      <x:c r="G205" s="8" t="str">
        <x:v>Quilograma</x:v>
      </x:c>
      <x:c r="H205" s="11" t="n">
        <x:v>334</x:v>
      </x:c>
      <x:c r="I205" s="11" t="n">
        <x:v>10.48</x:v>
      </x:c>
      <x:c r="J205" s="11" t="n">
        <x:v>3500.32</x:v>
      </x:c>
      <x:c r="K205" s="11" t="n">
        <x:v>18</x:v>
      </x:c>
      <x:c r="L205" s="11" t="str">
        <x:v>Extração parcial do início da descrição; conferir unidade/descrição completa no PDF.</x:v>
      </x:c>
      <x:c r="M205" s="11" t="str">
        <x:v>DOC-0005</x:v>
      </x:c>
      <x:c r="N205" s="11" t="n">
        <x:f>H205*I205</x:f>
        <x:v>3500.32</x:v>
      </x:c>
      <x:c r="O205" s="11" t="n">
        <x:f>ROUND(N205-J205,2)</x:f>
        <x:v>0</x:v>
      </x:c>
    </x:row>
    <x:row r="206" ht="84" customHeight="1">
      <x:c r="A206" s="8" t="str">
        <x:v>ED-0006</x:v>
      </x:c>
      <x:c r="B206" s="8" t="str">
        <x:v>Diamantino</x:v>
      </x:c>
      <x:c r="C206" s="8" t="str">
        <x:v>Arenápolis</x:v>
      </x:c>
      <x:c r="D206" s="8" t="n">
        <x:v>1</x:v>
      </x:c>
      <x:c r="E206" s="8" t="str">
        <x:v>ABACATE</x:v>
      </x:c>
      <x:c r="F206" s="8" t="str">
        <x:v>ABACATE, inteiro, livre de sujidades,</x:v>
      </x:c>
      <x:c r="G206" s="8" t="str">
        <x:v>Quilograma</x:v>
      </x:c>
      <x:c r="H206" s="11" t="n">
        <x:v>44</x:v>
      </x:c>
      <x:c r="I206" s="11" t="n">
        <x:v>17.56</x:v>
      </x:c>
      <x:c r="J206" s="11" t="n">
        <x:v>772.64</x:v>
      </x:c>
      <x:c r="K206" s="11" t="n">
        <x:v>3</x:v>
      </x:c>
      <x:c r="L206" s="11" t="str">
        <x:v>Extração parcial do início da descrição; conferir unidade/descrição completa no PDF.</x:v>
      </x:c>
      <x:c r="M206" s="11" t="str">
        <x:v>DOC-0006</x:v>
      </x:c>
      <x:c r="N206" s="11" t="n">
        <x:f>H206*I206</x:f>
        <x:v>772.64</x:v>
      </x:c>
      <x:c r="O206" s="11" t="n">
        <x:f>ROUND(N206-J206,2)</x:f>
        <x:v>0</x:v>
      </x:c>
    </x:row>
    <x:row r="207" ht="84" customHeight="1">
      <x:c r="A207" s="8" t="str">
        <x:v>ED-0006</x:v>
      </x:c>
      <x:c r="B207" s="8" t="str">
        <x:v>Diamantino</x:v>
      </x:c>
      <x:c r="C207" s="8" t="str">
        <x:v>Arenápolis</x:v>
      </x:c>
      <x:c r="D207" s="8" t="n">
        <x:v>2</x:v>
      </x:c>
      <x:c r="E207" s="8" t="str">
        <x:v>ABACAXI PÉROLA</x:v>
      </x:c>
      <x:c r="F207" s="8" t="str">
        <x:v>ABACAXI PÉROLA, inteiro, livre de</x:v>
      </x:c>
      <x:c r="G207" s="8" t="str">
        <x:v>Quilograma</x:v>
      </x:c>
      <x:c r="H207" s="11" t="n">
        <x:v>546</x:v>
      </x:c>
      <x:c r="I207" s="11" t="n">
        <x:v>11.93</x:v>
      </x:c>
      <x:c r="J207" s="11" t="n">
        <x:v>6513.78</x:v>
      </x:c>
      <x:c r="K207" s="11" t="n">
        <x:v>3</x:v>
      </x:c>
      <x:c r="L207" s="11" t="str">
        <x:v>Extração parcial do início da descrição; conferir unidade/descrição completa no PDF.</x:v>
      </x:c>
      <x:c r="M207" s="11" t="str">
        <x:v>DOC-0006</x:v>
      </x:c>
      <x:c r="N207" s="11" t="n">
        <x:f>H207*I207</x:f>
        <x:v>6513.78</x:v>
      </x:c>
      <x:c r="O207" s="11" t="n">
        <x:f>ROUND(N207-J207,2)</x:f>
        <x:v>0</x:v>
      </x:c>
    </x:row>
    <x:row r="208" ht="84" customHeight="1">
      <x:c r="A208" s="8" t="str">
        <x:v>ED-0006</x:v>
      </x:c>
      <x:c r="B208" s="8" t="str">
        <x:v>Diamantino</x:v>
      </x:c>
      <x:c r="C208" s="8" t="str">
        <x:v>Arenápolis</x:v>
      </x:c>
      <x:c r="D208" s="8" t="n">
        <x:v>3</x:v>
      </x:c>
      <x:c r="E208" s="8" t="str">
        <x:v>ABÓBORA CABOTIÃ</x:v>
      </x:c>
      <x:c r="F208" s="8" t="str">
        <x:v>ABÓBORA CABOTIÃ, inteira, livre</x:v>
      </x:c>
      <x:c r="G208" s="8" t="str">
        <x:v>Quilograma</x:v>
      </x:c>
      <x:c r="H208" s="11" t="n">
        <x:v>363</x:v>
      </x:c>
      <x:c r="I208" s="11" t="n">
        <x:v>5.65</x:v>
      </x:c>
      <x:c r="J208" s="11" t="n">
        <x:v>2050.95</x:v>
      </x:c>
      <x:c r="K208" s="11" t="n">
        <x:v>3</x:v>
      </x:c>
      <x:c r="L208" s="11" t="str">
        <x:v>Extração parcial do início da descrição; conferir unidade/descrição completa no PDF.</x:v>
      </x:c>
      <x:c r="M208" s="11" t="str">
        <x:v>DOC-0006</x:v>
      </x:c>
      <x:c r="N208" s="11" t="n">
        <x:f>H208*I208</x:f>
        <x:v>2050.9500000000003</x:v>
      </x:c>
      <x:c r="O208" s="11" t="n">
        <x:f>ROUND(N208-J208,2)</x:f>
        <x:v>0</x:v>
      </x:c>
    </x:row>
    <x:row r="209" ht="84" customHeight="1">
      <x:c r="A209" s="8" t="str">
        <x:v>ED-0006</x:v>
      </x:c>
      <x:c r="B209" s="8" t="str">
        <x:v>Diamantino</x:v>
      </x:c>
      <x:c r="C209" s="8" t="str">
        <x:v>Arenápolis</x:v>
      </x:c>
      <x:c r="D209" s="8" t="n">
        <x:v>4</x:v>
      </x:c>
      <x:c r="E209" s="8" t="str">
        <x:v>AÇAFRÃO</x:v>
      </x:c>
      <x:c r="F209" s="8" t="str">
        <x:v>AÇAFRÃO, torrado, em pó fino e</x:v>
      </x:c>
      <x:c r="G209" s="8" t="str">
        <x:v>Unidade de</x:v>
      </x:c>
      <x:c r="H209" s="11" t="n">
        <x:v>256</x:v>
      </x:c>
      <x:c r="I209" s="11" t="n">
        <x:v>3.01</x:v>
      </x:c>
      <x:c r="J209" s="11" t="n">
        <x:v>770.56</x:v>
      </x:c>
      <x:c r="K209" s="11" t="n">
        <x:v>4</x:v>
      </x:c>
      <x:c r="L209" s="11" t="str">
        <x:v>Extração parcial do início da descrição; conferir unidade/descrição completa no PDF.</x:v>
      </x:c>
      <x:c r="M209" s="11" t="str">
        <x:v>DOC-0006</x:v>
      </x:c>
      <x:c r="N209" s="11" t="n">
        <x:f>H209*I209</x:f>
        <x:v>770.56</x:v>
      </x:c>
      <x:c r="O209" s="11" t="n">
        <x:f>ROUND(N209-J209,2)</x:f>
        <x:v>0</x:v>
      </x:c>
    </x:row>
    <x:row r="210" ht="84" customHeight="1">
      <x:c r="A210" s="8" t="str">
        <x:v>ED-0006</x:v>
      </x:c>
      <x:c r="B210" s="8" t="str">
        <x:v>Diamantino</x:v>
      </x:c>
      <x:c r="C210" s="8" t="str">
        <x:v>Arenápolis</x:v>
      </x:c>
      <x:c r="D210" s="8" t="n">
        <x:v>6</x:v>
      </x:c>
      <x:c r="E210" s="8" t="str">
        <x:v>AGRIÃO</x:v>
      </x:c>
      <x:c r="F210" s="8" t="str">
        <x:v>AGRIÃO, com folhas inteiras, livre de</x:v>
      </x:c>
      <x:c r="G210" s="8" t="str">
        <x:v>Quilograma</x:v>
      </x:c>
      <x:c r="H210" s="11" t="n">
        <x:v>163</x:v>
      </x:c>
      <x:c r="I210" s="11" t="n">
        <x:v>34.98</x:v>
      </x:c>
      <x:c r="J210" s="11" t="n">
        <x:v>5701.74</x:v>
      </x:c>
      <x:c r="K210" s="11" t="n">
        <x:v>4</x:v>
      </x:c>
      <x:c r="L210" s="11" t="str">
        <x:v>Extração parcial do início da descrição; conferir unidade/descrição completa no PDF.</x:v>
      </x:c>
      <x:c r="M210" s="11" t="str">
        <x:v>DOC-0006</x:v>
      </x:c>
      <x:c r="N210" s="11" t="n">
        <x:f>H210*I210</x:f>
        <x:v>5701.74</x:v>
      </x:c>
      <x:c r="O210" s="11" t="n">
        <x:f>ROUND(N210-J210,2)</x:f>
        <x:v>0</x:v>
      </x:c>
    </x:row>
    <x:row r="211" ht="84" customHeight="1">
      <x:c r="A211" s="8" t="str">
        <x:v>ED-0006</x:v>
      </x:c>
      <x:c r="B211" s="8" t="str">
        <x:v>Diamantino</x:v>
      </x:c>
      <x:c r="C211" s="8" t="str">
        <x:v>Arenápolis</x:v>
      </x:c>
      <x:c r="D211" s="8" t="n">
        <x:v>7</x:v>
      </x:c>
      <x:c r="E211" s="8" t="str">
        <x:v>ALFACE CRESPA</x:v>
      </x:c>
      <x:c r="F211" s="8" t="str">
        <x:v>ALFACE CRESPA, com folhas</x:v>
      </x:c>
      <x:c r="G211" s="8" t="str">
        <x:v>Quilograma</x:v>
      </x:c>
      <x:c r="H211" s="11" t="n">
        <x:v>1218</x:v>
      </x:c>
      <x:c r="I211" s="11" t="n">
        <x:v>27.34</x:v>
      </x:c>
      <x:c r="J211" s="11" t="n">
        <x:v>33300.12</x:v>
      </x:c>
      <x:c r="K211" s="11" t="n">
        <x:v>4</x:v>
      </x:c>
      <x:c r="L211" s="11" t="str">
        <x:v>Extração parcial do início da descrição; conferir unidade/descrição completa no PDF.</x:v>
      </x:c>
      <x:c r="M211" s="11" t="str">
        <x:v>DOC-0006</x:v>
      </x:c>
      <x:c r="N211" s="11" t="n">
        <x:f>H211*I211</x:f>
        <x:v>33300.12</x:v>
      </x:c>
      <x:c r="O211" s="11" t="n">
        <x:f>ROUND(N211-J211,2)</x:f>
        <x:v>0</x:v>
      </x:c>
    </x:row>
    <x:row r="212" ht="84" customHeight="1">
      <x:c r="A212" s="8" t="str">
        <x:v>ED-0006</x:v>
      </x:c>
      <x:c r="B212" s="8" t="str">
        <x:v>Diamantino</x:v>
      </x:c>
      <x:c r="C212" s="8" t="str">
        <x:v>Arenápolis</x:v>
      </x:c>
      <x:c r="D212" s="8" t="n">
        <x:v>8</x:v>
      </x:c>
      <x:c r="E212" s="8" t="str">
        <x:v>ALMEIRÃO</x:v>
      </x:c>
      <x:c r="F212" s="8" t="str">
        <x:v>ALMEIRÃO, com folhas inteiras, livre</x:v>
      </x:c>
      <x:c r="G212" s="8" t="str">
        <x:v>Quilograma</x:v>
      </x:c>
      <x:c r="H212" s="11" t="n">
        <x:v>332</x:v>
      </x:c>
      <x:c r="I212" s="11" t="n">
        <x:v>29.68</x:v>
      </x:c>
      <x:c r="J212" s="11" t="n">
        <x:v>9853.76</x:v>
      </x:c>
      <x:c r="K212" s="11" t="n">
        <x:v>5</x:v>
      </x:c>
      <x:c r="L212" s="11" t="str">
        <x:v>Extração parcial do início da descrição; conferir unidade/descrição completa no PDF.</x:v>
      </x:c>
      <x:c r="M212" s="11" t="str">
        <x:v>DOC-0006</x:v>
      </x:c>
      <x:c r="N212" s="11" t="n">
        <x:f>H212*I212</x:f>
        <x:v>9853.76</x:v>
      </x:c>
      <x:c r="O212" s="11" t="n">
        <x:f>ROUND(N212-J212,2)</x:f>
        <x:v>0</x:v>
      </x:c>
    </x:row>
    <x:row r="213" ht="84" customHeight="1">
      <x:c r="A213" s="8" t="str">
        <x:v>ED-0006</x:v>
      </x:c>
      <x:c r="B213" s="8" t="str">
        <x:v>Diamantino</x:v>
      </x:c>
      <x:c r="C213" s="8" t="str">
        <x:v>Arenápolis</x:v>
      </x:c>
      <x:c r="D213" s="8" t="n">
        <x:v>9</x:v>
      </x:c>
      <x:c r="E213" s="8" t="str">
        <x:v>BANANA DA TERRA</x:v>
      </x:c>
      <x:c r="F213" s="8" t="str">
        <x:v>BANANA DA TERRA, inteira, livre</x:v>
      </x:c>
      <x:c r="G213" s="8" t="str">
        <x:v>Quilograma</x:v>
      </x:c>
      <x:c r="H213" s="11" t="n">
        <x:v>426</x:v>
      </x:c>
      <x:c r="I213" s="11" t="n">
        <x:v>11.13</x:v>
      </x:c>
      <x:c r="J213" s="11" t="n">
        <x:v>4741.38</x:v>
      </x:c>
      <x:c r="K213" s="11" t="n">
        <x:v>5</x:v>
      </x:c>
      <x:c r="L213" s="11" t="str">
        <x:v>Extração parcial do início da descrição; conferir unidade/descrição completa no PDF.</x:v>
      </x:c>
      <x:c r="M213" s="11" t="str">
        <x:v>DOC-0006</x:v>
      </x:c>
      <x:c r="N213" s="11" t="n">
        <x:f>H213*I213</x:f>
        <x:v>4741.38</x:v>
      </x:c>
      <x:c r="O213" s="11" t="n">
        <x:f>ROUND(N213-J213,2)</x:f>
        <x:v>0</x:v>
      </x:c>
    </x:row>
    <x:row r="214" ht="84" customHeight="1">
      <x:c r="A214" s="8" t="str">
        <x:v>ED-0006</x:v>
      </x:c>
      <x:c r="B214" s="8" t="str">
        <x:v>Diamantino</x:v>
      </x:c>
      <x:c r="C214" s="8" t="str">
        <x:v>Arenápolis</x:v>
      </x:c>
      <x:c r="D214" s="8" t="n">
        <x:v>10</x:v>
      </x:c>
      <x:c r="E214" s="8" t="str">
        <x:v>BANANA NANICA</x:v>
      </x:c>
      <x:c r="F214" s="8" t="str">
        <x:v>BANANA NANICA, inteira, livre de</x:v>
      </x:c>
      <x:c r="G214" s="8" t="str">
        <x:v>Quilograma</x:v>
      </x:c>
      <x:c r="H214" s="11" t="n">
        <x:v>1566</x:v>
      </x:c>
      <x:c r="I214" s="11" t="n">
        <x:v>8.11</x:v>
      </x:c>
      <x:c r="J214" s="11" t="n">
        <x:v>12700.26</x:v>
      </x:c>
      <x:c r="K214" s="11" t="n">
        <x:v>5</x:v>
      </x:c>
      <x:c r="L214" s="11" t="str">
        <x:v>Extração parcial do início da descrição; conferir unidade/descrição completa no PDF.</x:v>
      </x:c>
      <x:c r="M214" s="11" t="str">
        <x:v>DOC-0006</x:v>
      </x:c>
      <x:c r="N214" s="11" t="n">
        <x:f>H214*I214</x:f>
        <x:v>12700.259999999998</x:v>
      </x:c>
      <x:c r="O214" s="11" t="n">
        <x:f>ROUND(N214-J214,2)</x:f>
        <x:v>0</x:v>
      </x:c>
    </x:row>
    <x:row r="215" ht="84" customHeight="1">
      <x:c r="A215" s="8" t="str">
        <x:v>ED-0006</x:v>
      </x:c>
      <x:c r="B215" s="8" t="str">
        <x:v>Diamantino</x:v>
      </x:c>
      <x:c r="C215" s="8" t="str">
        <x:v>Arenápolis</x:v>
      </x:c>
      <x:c r="D215" s="8" t="n">
        <x:v>11</x:v>
      </x:c>
      <x:c r="E215" s="8" t="str">
        <x:v>BATATA DOCE</x:v>
      </x:c>
      <x:c r="F215" s="8" t="str">
        <x:v>BATATA DOCE, inteira, livre de</x:v>
      </x:c>
      <x:c r="G215" s="8" t="str">
        <x:v>Quilograma</x:v>
      </x:c>
      <x:c r="H215" s="11" t="n">
        <x:v>237</x:v>
      </x:c>
      <x:c r="I215" s="11" t="n">
        <x:v>6.26</x:v>
      </x:c>
      <x:c r="J215" s="11" t="n">
        <x:v>1483.62</x:v>
      </x:c>
      <x:c r="K215" s="11" t="n">
        <x:v>6</x:v>
      </x:c>
      <x:c r="L215" s="11" t="str">
        <x:v>Extração parcial do início da descrição; conferir unidade/descrição completa no PDF.</x:v>
      </x:c>
      <x:c r="M215" s="11" t="str">
        <x:v>DOC-0006</x:v>
      </x:c>
      <x:c r="N215" s="11" t="n">
        <x:f>H215*I215</x:f>
        <x:v>1483.62</x:v>
      </x:c>
      <x:c r="O215" s="11" t="n">
        <x:f>ROUND(N215-J215,2)</x:f>
        <x:v>0</x:v>
      </x:c>
    </x:row>
    <x:row r="216" ht="84" customHeight="1">
      <x:c r="A216" s="8" t="str">
        <x:v>ED-0006</x:v>
      </x:c>
      <x:c r="B216" s="8" t="str">
        <x:v>Diamantino</x:v>
      </x:c>
      <x:c r="C216" s="8" t="str">
        <x:v>Arenápolis</x:v>
      </x:c>
      <x:c r="D216" s="8" t="n">
        <x:v>13</x:v>
      </x:c>
      <x:c r="E216" s="8" t="str">
        <x:v>BEBIDA LÁCTEA FERMENTADA</x:v>
      </x:c>
      <x:c r="F216" s="8" t="str">
        <x:v>BEBIDA LÁCTEA FERMENTADA</x:v>
      </x:c>
      <x:c r="G216" s="8" t="str">
        <x:v>Unidade de</x:v>
      </x:c>
      <x:c r="H216" s="11" t="n">
        <x:v>400</x:v>
      </x:c>
      <x:c r="I216" s="11" t="n">
        <x:v>11.4</x:v>
      </x:c>
      <x:c r="J216" s="11" t="n">
        <x:v>4560</x:v>
      </x:c>
      <x:c r="K216" s="11" t="n">
        <x:v>6</x:v>
      </x:c>
      <x:c r="L216" s="11" t="str">
        <x:v>Extração parcial do início da descrição; conferir unidade/descrição completa no PDF.</x:v>
      </x:c>
      <x:c r="M216" s="11" t="str">
        <x:v>DOC-0006</x:v>
      </x:c>
      <x:c r="N216" s="11" t="n">
        <x:f>H216*I216</x:f>
        <x:v>4560</x:v>
      </x:c>
      <x:c r="O216" s="11" t="n">
        <x:f>ROUND(N216-J216,2)</x:f>
        <x:v>0</x:v>
      </x:c>
    </x:row>
    <x:row r="217" ht="84" customHeight="1">
      <x:c r="A217" s="8" t="str">
        <x:v>ED-0006</x:v>
      </x:c>
      <x:c r="B217" s="8" t="str">
        <x:v>Diamantino</x:v>
      </x:c>
      <x:c r="C217" s="8" t="str">
        <x:v>Arenápolis</x:v>
      </x:c>
      <x:c r="D217" s="8" t="n">
        <x:v>14</x:v>
      </x:c>
      <x:c r="E217" s="8" t="str">
        <x:v>BETERRABA</x:v>
      </x:c>
      <x:c r="F217" s="8" t="str">
        <x:v>BETERRABA, inteira, livre de</x:v>
      </x:c>
      <x:c r="G217" s="8" t="str">
        <x:v>Quilograma</x:v>
      </x:c>
      <x:c r="H217" s="11" t="n">
        <x:v>163</x:v>
      </x:c>
      <x:c r="I217" s="11" t="n">
        <x:v>7.58</x:v>
      </x:c>
      <x:c r="J217" s="11" t="n">
        <x:v>1235.54</x:v>
      </x:c>
      <x:c r="K217" s="11" t="n">
        <x:v>7</x:v>
      </x:c>
      <x:c r="L217" s="11" t="str">
        <x:v>Extração parcial do início da descrição; conferir unidade/descrição completa no PDF.</x:v>
      </x:c>
      <x:c r="M217" s="11" t="str">
        <x:v>DOC-0006</x:v>
      </x:c>
      <x:c r="N217" s="11" t="n">
        <x:f>H217*I217</x:f>
        <x:v>1235.54</x:v>
      </x:c>
      <x:c r="O217" s="11" t="n">
        <x:f>ROUND(N217-J217,2)</x:f>
        <x:v>0</x:v>
      </x:c>
    </x:row>
    <x:row r="218" ht="84" customHeight="1">
      <x:c r="A218" s="8" t="str">
        <x:v>ED-0006</x:v>
      </x:c>
      <x:c r="B218" s="8" t="str">
        <x:v>Diamantino</x:v>
      </x:c>
      <x:c r="C218" s="8" t="str">
        <x:v>Arenápolis</x:v>
      </x:c>
      <x:c r="D218" s="8" t="n">
        <x:v>15</x:v>
      </x:c>
      <x:c r="E218" s="8" t="str">
        <x:v>BOLO DE CHOCOLATE</x:v>
      </x:c>
      <x:c r="F218" s="8" t="str">
        <x:v>BOLO DE CHOCOLATE, caseiro,</x:v>
      </x:c>
      <x:c r="G218" s="8" t="str">
        <x:v>Quilograma</x:v>
      </x:c>
      <x:c r="H218" s="11" t="n">
        <x:v>485</x:v>
      </x:c>
      <x:c r="I218" s="11" t="n">
        <x:v>37</x:v>
      </x:c>
      <x:c r="J218" s="11" t="n">
        <x:v>17945</x:v>
      </x:c>
      <x:c r="K218" s="11" t="n">
        <x:v>7</x:v>
      </x:c>
      <x:c r="L218" s="11" t="str">
        <x:v>Extração parcial do início da descrição; conferir unidade/descrição completa no PDF.</x:v>
      </x:c>
      <x:c r="M218" s="11" t="str">
        <x:v>DOC-0006</x:v>
      </x:c>
      <x:c r="N218" s="11" t="n">
        <x:f>H218*I218</x:f>
        <x:v>17945</x:v>
      </x:c>
      <x:c r="O218" s="11" t="n">
        <x:f>ROUND(N218-J218,2)</x:f>
        <x:v>0</x:v>
      </x:c>
    </x:row>
    <x:row r="219" ht="84" customHeight="1">
      <x:c r="A219" s="8" t="str">
        <x:v>ED-0006</x:v>
      </x:c>
      <x:c r="B219" s="8" t="str">
        <x:v>Diamantino</x:v>
      </x:c>
      <x:c r="C219" s="8" t="str">
        <x:v>Arenápolis</x:v>
      </x:c>
      <x:c r="D219" s="8" t="n">
        <x:v>16</x:v>
      </x:c>
      <x:c r="E219" s="8" t="str">
        <x:v>BOLO        DE      COCO</x:v>
      </x:c>
      <x:c r="F219" s="8" t="str">
        <x:v>BOLO        DE      COCO,       caseiro,</x:v>
      </x:c>
      <x:c r="G219" s="8" t="str">
        <x:v>Quilograma</x:v>
      </x:c>
      <x:c r="H219" s="11" t="n">
        <x:v>484</x:v>
      </x:c>
      <x:c r="I219" s="11" t="n">
        <x:v>33</x:v>
      </x:c>
      <x:c r="J219" s="11" t="n">
        <x:v>15972</x:v>
      </x:c>
      <x:c r="K219" s="11" t="n">
        <x:v>7</x:v>
      </x:c>
      <x:c r="L219" s="11" t="str">
        <x:v>Extração parcial do início da descrição; conferir unidade/descrição completa no PDF.</x:v>
      </x:c>
      <x:c r="M219" s="11" t="str">
        <x:v>DOC-0006</x:v>
      </x:c>
      <x:c r="N219" s="11" t="n">
        <x:f>H219*I219</x:f>
        <x:v>15972</x:v>
      </x:c>
      <x:c r="O219" s="11" t="n">
        <x:f>ROUND(N219-J219,2)</x:f>
        <x:v>0</x:v>
      </x:c>
    </x:row>
    <x:row r="220" ht="84" customHeight="1">
      <x:c r="A220" s="8" t="str">
        <x:v>ED-0006</x:v>
      </x:c>
      <x:c r="B220" s="8" t="str">
        <x:v>Diamantino</x:v>
      </x:c>
      <x:c r="C220" s="8" t="str">
        <x:v>Arenápolis</x:v>
      </x:c>
      <x:c r="D220" s="8" t="n">
        <x:v>17</x:v>
      </x:c>
      <x:c r="E220" s="8" t="str">
        <x:v>BOLO          SIMPLES</x:v>
      </x:c>
      <x:c r="F220" s="8" t="str">
        <x:v>BOLO          SIMPLES,          caseiro,</x:v>
      </x:c>
      <x:c r="G220" s="8" t="str">
        <x:v>Quilograma</x:v>
      </x:c>
      <x:c r="H220" s="11" t="n">
        <x:v>484</x:v>
      </x:c>
      <x:c r="I220" s="11" t="n">
        <x:v>33</x:v>
      </x:c>
      <x:c r="J220" s="11" t="n">
        <x:v>15972</x:v>
      </x:c>
      <x:c r="K220" s="11" t="n">
        <x:v>8</x:v>
      </x:c>
      <x:c r="L220" s="11" t="str">
        <x:v>Extração parcial do início da descrição; conferir unidade/descrição completa no PDF.</x:v>
      </x:c>
      <x:c r="M220" s="11" t="str">
        <x:v>DOC-0006</x:v>
      </x:c>
      <x:c r="N220" s="11" t="n">
        <x:f>H220*I220</x:f>
        <x:v>15972</x:v>
      </x:c>
      <x:c r="O220" s="11" t="n">
        <x:f>ROUND(N220-J220,2)</x:f>
        <x:v>0</x:v>
      </x:c>
    </x:row>
    <x:row r="221" ht="84" customHeight="1">
      <x:c r="A221" s="8" t="str">
        <x:v>ED-0006</x:v>
      </x:c>
      <x:c r="B221" s="8" t="str">
        <x:v>Diamantino</x:v>
      </x:c>
      <x:c r="C221" s="8" t="str">
        <x:v>Arenápolis</x:v>
      </x:c>
      <x:c r="D221" s="8" t="n">
        <x:v>18</x:v>
      </x:c>
      <x:c r="E221" s="8" t="str">
        <x:v>CAFÉ TORRADO E MOÍDO</x:v>
      </x:c>
      <x:c r="F221" s="8" t="str">
        <x:v>CAFÉ TORRADO E MOÍDO, 1ª</x:v>
      </x:c>
      <x:c r="G221" s="8" t="str">
        <x:v>Unidade de</x:v>
      </x:c>
      <x:c r="H221" s="11" t="n">
        <x:v>197</x:v>
      </x:c>
      <x:c r="I221" s="11" t="n">
        <x:v>23.72</x:v>
      </x:c>
      <x:c r="J221" s="11" t="n">
        <x:v>4672.84</x:v>
      </x:c>
      <x:c r="K221" s="11" t="n">
        <x:v>8</x:v>
      </x:c>
      <x:c r="L221" s="11" t="str">
        <x:v>Extração parcial do início da descrição; conferir unidade/descrição completa no PDF.</x:v>
      </x:c>
      <x:c r="M221" s="11" t="str">
        <x:v>DOC-0006</x:v>
      </x:c>
      <x:c r="N221" s="11" t="n">
        <x:f>H221*I221</x:f>
        <x:v>4672.84</x:v>
      </x:c>
      <x:c r="O221" s="11" t="n">
        <x:f>ROUND(N221-J221,2)</x:f>
        <x:v>0</x:v>
      </x:c>
    </x:row>
    <x:row r="222" ht="84" customHeight="1">
      <x:c r="A222" s="8" t="str">
        <x:v>ED-0006</x:v>
      </x:c>
      <x:c r="B222" s="8" t="str">
        <x:v>Diamantino</x:v>
      </x:c>
      <x:c r="C222" s="8" t="str">
        <x:v>Arenápolis</x:v>
      </x:c>
      <x:c r="D222" s="8" t="n">
        <x:v>19</x:v>
      </x:c>
      <x:c r="E222" s="8" t="str">
        <x:v>CEBOLINHA</x:v>
      </x:c>
      <x:c r="F222" s="8" t="str">
        <x:v>CEBOLINHA, verde, com folhas</x:v>
      </x:c>
      <x:c r="G222" s="8" t="str">
        <x:v>Quilograma</x:v>
      </x:c>
      <x:c r="H222" s="11" t="n">
        <x:v>226</x:v>
      </x:c>
      <x:c r="I222" s="11" t="n">
        <x:v>29.5</x:v>
      </x:c>
      <x:c r="J222" s="11" t="n">
        <x:v>6667</x:v>
      </x:c>
      <x:c r="K222" s="11" t="n">
        <x:v>8</x:v>
      </x:c>
      <x:c r="L222" s="11" t="str">
        <x:v>Extração parcial do início da descrição; conferir unidade/descrição completa no PDF.</x:v>
      </x:c>
      <x:c r="M222" s="11" t="str">
        <x:v>DOC-0006</x:v>
      </x:c>
      <x:c r="N222" s="11" t="n">
        <x:f>H222*I222</x:f>
        <x:v>6667</x:v>
      </x:c>
      <x:c r="O222" s="11" t="n">
        <x:f>ROUND(N222-J222,2)</x:f>
        <x:v>0</x:v>
      </x:c>
    </x:row>
    <x:row r="223" ht="84" customHeight="1">
      <x:c r="A223" s="8" t="str">
        <x:v>ED-0006</x:v>
      </x:c>
      <x:c r="B223" s="8" t="str">
        <x:v>Diamantino</x:v>
      </x:c>
      <x:c r="C223" s="8" t="str">
        <x:v>Arenápolis</x:v>
      </x:c>
      <x:c r="D223" s="8" t="n">
        <x:v>20</x:v>
      </x:c>
      <x:c r="E223" s="8" t="str">
        <x:v>CENOURA</x:v>
      </x:c>
      <x:c r="F223" s="8" t="str">
        <x:v>CENOURA, inteira, livre de sujidades,</x:v>
      </x:c>
      <x:c r="G223" s="8" t="str">
        <x:v>Quilograma</x:v>
      </x:c>
      <x:c r="H223" s="11" t="n">
        <x:v>874</x:v>
      </x:c>
      <x:c r="I223" s="11" t="n">
        <x:v>8.98</x:v>
      </x:c>
      <x:c r="J223" s="11" t="n">
        <x:v>7848.52</x:v>
      </x:c>
      <x:c r="K223" s="11" t="n">
        <x:v>9</x:v>
      </x:c>
      <x:c r="L223" s="11" t="str">
        <x:v>Extração parcial do início da descrição; conferir unidade/descrição completa no PDF.</x:v>
      </x:c>
      <x:c r="M223" s="11" t="str">
        <x:v>DOC-0006</x:v>
      </x:c>
      <x:c r="N223" s="11" t="n">
        <x:f>H223*I223</x:f>
        <x:v>7848.52</x:v>
      </x:c>
      <x:c r="O223" s="11" t="n">
        <x:f>ROUND(N223-J223,2)</x:f>
        <x:v>0</x:v>
      </x:c>
    </x:row>
    <x:row r="224" ht="84" customHeight="1">
      <x:c r="A224" s="8" t="str">
        <x:v>ED-0006</x:v>
      </x:c>
      <x:c r="B224" s="8" t="str">
        <x:v>Diamantino</x:v>
      </x:c>
      <x:c r="C224" s="8" t="str">
        <x:v>Arenápolis</x:v>
      </x:c>
      <x:c r="D224" s="8" t="n">
        <x:v>21</x:v>
      </x:c>
      <x:c r="E224" s="8" t="str">
        <x:v>COENTRO</x:v>
      </x:c>
      <x:c r="F224" s="8" t="str">
        <x:v>COENTRO, com talos e folhas</x:v>
      </x:c>
      <x:c r="G224" s="8" t="str">
        <x:v>Quilograma</x:v>
      </x:c>
      <x:c r="H224" s="11" t="n">
        <x:v>18</x:v>
      </x:c>
      <x:c r="I224" s="11" t="n">
        <x:v>34.06</x:v>
      </x:c>
      <x:c r="J224" s="11" t="n">
        <x:v>613.08</x:v>
      </x:c>
      <x:c r="K224" s="11" t="n">
        <x:v>9</x:v>
      </x:c>
      <x:c r="L224" s="11" t="str">
        <x:v>Extração parcial do início da descrição; conferir unidade/descrição completa no PDF.</x:v>
      </x:c>
      <x:c r="M224" s="11" t="str">
        <x:v>DOC-0006</x:v>
      </x:c>
      <x:c r="N224" s="11" t="n">
        <x:f>H224*I224</x:f>
        <x:v>613.08</x:v>
      </x:c>
      <x:c r="O224" s="11" t="n">
        <x:f>ROUND(N224-J224,2)</x:f>
        <x:v>0</x:v>
      </x:c>
    </x:row>
    <x:row r="225" ht="84" customHeight="1">
      <x:c r="A225" s="8" t="str">
        <x:v>ED-0006</x:v>
      </x:c>
      <x:c r="B225" s="8" t="str">
        <x:v>Diamantino</x:v>
      </x:c>
      <x:c r="C225" s="8" t="str">
        <x:v>Arenápolis</x:v>
      </x:c>
      <x:c r="D225" s="8" t="n">
        <x:v>22</x:v>
      </x:c>
      <x:c r="E225" s="8" t="str">
        <x:v>COLORAU</x:v>
      </x:c>
      <x:c r="F225" s="8" t="str">
        <x:v>COLORAU, corante, natural de</x:v>
      </x:c>
      <x:c r="G225" s="8" t="str">
        <x:v>Unidade de</x:v>
      </x:c>
      <x:c r="H225" s="11" t="n">
        <x:v>2329</x:v>
      </x:c>
      <x:c r="I225" s="11" t="n">
        <x:v>3.54</x:v>
      </x:c>
      <x:c r="J225" s="11" t="n">
        <x:v>8244.66</x:v>
      </x:c>
      <x:c r="K225" s="11" t="n">
        <x:v>9</x:v>
      </x:c>
      <x:c r="L225" s="11" t="str">
        <x:v>Extração parcial do início da descrição; conferir unidade/descrição completa no PDF.</x:v>
      </x:c>
      <x:c r="M225" s="11" t="str">
        <x:v>DOC-0006</x:v>
      </x:c>
      <x:c r="N225" s="11" t="n">
        <x:f>H225*I225</x:f>
        <x:v>8244.66</x:v>
      </x:c>
      <x:c r="O225" s="11" t="n">
        <x:f>ROUND(N225-J225,2)</x:f>
        <x:v>0</x:v>
      </x:c>
    </x:row>
    <x:row r="226" ht="84" customHeight="1">
      <x:c r="A226" s="8" t="str">
        <x:v>ED-0006</x:v>
      </x:c>
      <x:c r="B226" s="8" t="str">
        <x:v>Diamantino</x:v>
      </x:c>
      <x:c r="C226" s="8" t="str">
        <x:v>Arenápolis</x:v>
      </x:c>
      <x:c r="D226" s="8" t="n">
        <x:v>23</x:v>
      </x:c>
      <x:c r="E226" s="8" t="str">
        <x:v>COUVE</x:v>
      </x:c>
      <x:c r="F226" s="8" t="str">
        <x:v>COUVE, manteiga com folhas inteiras,</x:v>
      </x:c>
      <x:c r="G226" s="8" t="str">
        <x:v>Quilograma</x:v>
      </x:c>
      <x:c r="H226" s="11" t="n">
        <x:v>957</x:v>
      </x:c>
      <x:c r="I226" s="11" t="n">
        <x:v>28.48</x:v>
      </x:c>
      <x:c r="J226" s="11" t="n">
        <x:v>27255.36</x:v>
      </x:c>
      <x:c r="K226" s="11" t="n">
        <x:v>9</x:v>
      </x:c>
      <x:c r="L226" s="11" t="str">
        <x:v>Extração parcial do início da descrição; conferir unidade/descrição completa no PDF.</x:v>
      </x:c>
      <x:c r="M226" s="11" t="str">
        <x:v>DOC-0006</x:v>
      </x:c>
      <x:c r="N226" s="11" t="n">
        <x:f>H226*I226</x:f>
        <x:v>27255.36</x:v>
      </x:c>
      <x:c r="O226" s="11" t="n">
        <x:f>ROUND(N226-J226,2)</x:f>
        <x:v>0</x:v>
      </x:c>
    </x:row>
    <x:row r="227" ht="84" customHeight="1">
      <x:c r="A227" s="8" t="str">
        <x:v>ED-0006</x:v>
      </x:c>
      <x:c r="B227" s="8" t="str">
        <x:v>Diamantino</x:v>
      </x:c>
      <x:c r="C227" s="8" t="str">
        <x:v>Arenápolis</x:v>
      </x:c>
      <x:c r="D227" s="8" t="n">
        <x:v>24</x:v>
      </x:c>
      <x:c r="E227" s="8" t="str">
        <x:v>FARINHA DE MANDIOCA</x:v>
      </x:c>
      <x:c r="F227" s="8" t="str">
        <x:v>FARINHA DE MANDIOCA, do tipo</x:v>
      </x:c>
      <x:c r="G227" s="8" t="str">
        <x:v>Unidade de</x:v>
      </x:c>
      <x:c r="H227" s="11" t="n">
        <x:v>348</x:v>
      </x:c>
      <x:c r="I227" s="11" t="n">
        <x:v>9.34</x:v>
      </x:c>
      <x:c r="J227" s="11" t="n">
        <x:v>3250.32</x:v>
      </x:c>
      <x:c r="K227" s="11" t="n">
        <x:v>10</x:v>
      </x:c>
      <x:c r="L227" s="11" t="str">
        <x:v>Extração parcial do início da descrição; conferir unidade/descrição completa no PDF.</x:v>
      </x:c>
      <x:c r="M227" s="11" t="str">
        <x:v>DOC-0006</x:v>
      </x:c>
      <x:c r="N227" s="11" t="n">
        <x:f>H227*I227</x:f>
        <x:v>3250.32</x:v>
      </x:c>
      <x:c r="O227" s="11" t="n">
        <x:f>ROUND(N227-J227,2)</x:f>
        <x:v>0</x:v>
      </x:c>
    </x:row>
    <x:row r="228" ht="84" customHeight="1">
      <x:c r="A228" s="8" t="str">
        <x:v>ED-0006</x:v>
      </x:c>
      <x:c r="B228" s="8" t="str">
        <x:v>Diamantino</x:v>
      </x:c>
      <x:c r="C228" s="8" t="str">
        <x:v>Arenápolis</x:v>
      </x:c>
      <x:c r="D228" s="8" t="n">
        <x:v>25</x:v>
      </x:c>
      <x:c r="E228" s="8" t="str">
        <x:v>INHAME</x:v>
      </x:c>
      <x:c r="F228" s="8" t="str">
        <x:v>INHAME, in natura, tamanho e</x:v>
      </x:c>
      <x:c r="G228" s="8" t="str">
        <x:v>Quilograma</x:v>
      </x:c>
      <x:c r="H228" s="11" t="n">
        <x:v>177</x:v>
      </x:c>
      <x:c r="I228" s="11" t="n">
        <x:v>13.69</x:v>
      </x:c>
      <x:c r="J228" s="11" t="n">
        <x:v>2423.13</x:v>
      </x:c>
      <x:c r="K228" s="11" t="n">
        <x:v>10</x:v>
      </x:c>
      <x:c r="L228" s="11" t="str">
        <x:v>Extração parcial do início da descrição; conferir unidade/descrição completa no PDF.</x:v>
      </x:c>
      <x:c r="M228" s="11" t="str">
        <x:v>DOC-0006</x:v>
      </x:c>
      <x:c r="N228" s="11" t="n">
        <x:f>H228*I228</x:f>
        <x:v>2423.13</x:v>
      </x:c>
      <x:c r="O228" s="11" t="n">
        <x:f>ROUND(N228-J228,2)</x:f>
        <x:v>0</x:v>
      </x:c>
    </x:row>
    <x:row r="229" ht="84" customHeight="1">
      <x:c r="A229" s="8" t="str">
        <x:v>ED-0006</x:v>
      </x:c>
      <x:c r="B229" s="8" t="str">
        <x:v>Diamantino</x:v>
      </x:c>
      <x:c r="C229" s="8" t="str">
        <x:v>Arenápolis</x:v>
      </x:c>
      <x:c r="D229" s="8" t="n">
        <x:v>26</x:v>
      </x:c>
      <x:c r="E229" s="8" t="str">
        <x:v>LARANJA PÊRA</x:v>
      </x:c>
      <x:c r="F229" s="8" t="str">
        <x:v>LARANJA PÊRA, inteira, livre de</x:v>
      </x:c>
      <x:c r="G229" s="8" t="str">
        <x:v>Quilograma</x:v>
      </x:c>
      <x:c r="H229" s="11" t="n">
        <x:v>1113</x:v>
      </x:c>
      <x:c r="I229" s="11" t="n">
        <x:v>7.24</x:v>
      </x:c>
      <x:c r="J229" s="11" t="n">
        <x:v>8058.12</x:v>
      </x:c>
      <x:c r="K229" s="11" t="n">
        <x:v>11</x:v>
      </x:c>
      <x:c r="L229" s="11" t="str">
        <x:v>Extração parcial do início da descrição; conferir unidade/descrição completa no PDF.</x:v>
      </x:c>
      <x:c r="M229" s="11" t="str">
        <x:v>DOC-0006</x:v>
      </x:c>
      <x:c r="N229" s="11" t="n">
        <x:f>H229*I229</x:f>
        <x:v>8058.12</x:v>
      </x:c>
      <x:c r="O229" s="11" t="n">
        <x:f>ROUND(N229-J229,2)</x:f>
        <x:v>0</x:v>
      </x:c>
    </x:row>
    <x:row r="230" ht="84" customHeight="1">
      <x:c r="A230" s="8" t="str">
        <x:v>ED-0006</x:v>
      </x:c>
      <x:c r="B230" s="8" t="str">
        <x:v>Diamantino</x:v>
      </x:c>
      <x:c r="C230" s="8" t="str">
        <x:v>Arenápolis</x:v>
      </x:c>
      <x:c r="D230" s="8" t="n">
        <x:v>27</x:v>
      </x:c>
      <x:c r="E230" s="8" t="str">
        <x:v>LEITE               PASTEURIZADO</x:v>
      </x:c>
      <x:c r="F230" s="8" t="str">
        <x:v>LEITE               PASTEURIZADO</x:v>
      </x:c>
      <x:c r="G230" s="8" t="str">
        <x:v>Unidade de</x:v>
      </x:c>
      <x:c r="H230" s="11" t="n">
        <x:v>3796</x:v>
      </x:c>
      <x:c r="I230" s="11" t="n">
        <x:v>8.09</x:v>
      </x:c>
      <x:c r="J230" s="11" t="n">
        <x:v>30709.64</x:v>
      </x:c>
      <x:c r="K230" s="11" t="n">
        <x:v>11</x:v>
      </x:c>
      <x:c r="L230" s="11" t="str">
        <x:v>Extração parcial do início da descrição; conferir unidade/descrição completa no PDF.</x:v>
      </x:c>
      <x:c r="M230" s="11" t="str">
        <x:v>DOC-0006</x:v>
      </x:c>
      <x:c r="N230" s="11" t="n">
        <x:f>H230*I230</x:f>
        <x:v>30709.64</x:v>
      </x:c>
      <x:c r="O230" s="11" t="n">
        <x:f>ROUND(N230-J230,2)</x:f>
        <x:v>0</x:v>
      </x:c>
    </x:row>
    <x:row r="231" ht="84" customHeight="1">
      <x:c r="A231" s="8" t="str">
        <x:v>ED-0006</x:v>
      </x:c>
      <x:c r="B231" s="8" t="str">
        <x:v>Diamantino</x:v>
      </x:c>
      <x:c r="C231" s="8" t="str">
        <x:v>Arenápolis</x:v>
      </x:c>
      <x:c r="D231" s="8" t="n">
        <x:v>28</x:v>
      </x:c>
      <x:c r="E231" s="8" t="str">
        <x:v>LIMÃO TAHITI</x:v>
      </x:c>
      <x:c r="F231" s="8" t="str">
        <x:v>LIMÃO TAHITI, inteiro, livre de</x:v>
      </x:c>
      <x:c r="G231" s="8" t="str">
        <x:v>Quilograma</x:v>
      </x:c>
      <x:c r="H231" s="11" t="n">
        <x:v>247</x:v>
      </x:c>
      <x:c r="I231" s="11" t="n">
        <x:v>12.65</x:v>
      </x:c>
      <x:c r="J231" s="11" t="n">
        <x:v>3124.55</x:v>
      </x:c>
      <x:c r="K231" s="11" t="n">
        <x:v>11</x:v>
      </x:c>
      <x:c r="L231" s="11" t="str">
        <x:v>Extração parcial do início da descrição; conferir unidade/descrição completa no PDF.</x:v>
      </x:c>
      <x:c r="M231" s="11" t="str">
        <x:v>DOC-0006</x:v>
      </x:c>
      <x:c r="N231" s="11" t="n">
        <x:f>H231*I231</x:f>
        <x:v>3124.55</x:v>
      </x:c>
      <x:c r="O231" s="11" t="n">
        <x:f>ROUND(N231-J231,2)</x:f>
        <x:v>0</x:v>
      </x:c>
    </x:row>
    <x:row r="232" ht="84" customHeight="1">
      <x:c r="A232" s="8" t="str">
        <x:v>ED-0006</x:v>
      </x:c>
      <x:c r="B232" s="8" t="str">
        <x:v>Diamantino</x:v>
      </x:c>
      <x:c r="C232" s="8" t="str">
        <x:v>Arenápolis</x:v>
      </x:c>
      <x:c r="D232" s="8" t="n">
        <x:v>29</x:v>
      </x:c>
      <x:c r="E232" s="8" t="str">
        <x:v>MAMÃO FORMOSA</x:v>
      </x:c>
      <x:c r="F232" s="8" t="str">
        <x:v>MAMÃO FORMOSA, livre de</x:v>
      </x:c>
      <x:c r="G232" s="8" t="str">
        <x:v>Quilograma</x:v>
      </x:c>
      <x:c r="H232" s="11" t="n">
        <x:v>724</x:v>
      </x:c>
      <x:c r="I232" s="11" t="n">
        <x:v>12.51</x:v>
      </x:c>
      <x:c r="J232" s="11" t="n">
        <x:v>9057.24</x:v>
      </x:c>
      <x:c r="K232" s="11" t="n">
        <x:v>12</x:v>
      </x:c>
      <x:c r="L232" s="11" t="str">
        <x:v>Extração parcial do início da descrição; conferir unidade/descrição completa no PDF.</x:v>
      </x:c>
      <x:c r="M232" s="11" t="str">
        <x:v>DOC-0006</x:v>
      </x:c>
      <x:c r="N232" s="11" t="n">
        <x:f>H232*I232</x:f>
        <x:v>9057.24</x:v>
      </x:c>
      <x:c r="O232" s="11" t="n">
        <x:f>ROUND(N232-J232,2)</x:f>
        <x:v>0</x:v>
      </x:c>
    </x:row>
    <x:row r="233" ht="84" customHeight="1">
      <x:c r="A233" s="8" t="str">
        <x:v>ED-0006</x:v>
      </x:c>
      <x:c r="B233" s="8" t="str">
        <x:v>Diamantino</x:v>
      </x:c>
      <x:c r="C233" s="8" t="str">
        <x:v>Arenápolis</x:v>
      </x:c>
      <x:c r="D233" s="8" t="n">
        <x:v>30</x:v>
      </x:c>
      <x:c r="E233" s="8" t="str">
        <x:v>MANDIOCA                DESCASCADA</x:v>
      </x:c>
      <x:c r="F233" s="8" t="str">
        <x:v>MANDIOCA                DESCASCADA</x:v>
      </x:c>
      <x:c r="G233" s="8" t="str">
        <x:v>Unidade de</x:v>
      </x:c>
      <x:c r="H233" s="11" t="n">
        <x:v>542</x:v>
      </x:c>
      <x:c r="I233" s="11" t="n">
        <x:v>12.78</x:v>
      </x:c>
      <x:c r="J233" s="11" t="n">
        <x:v>6926.76</x:v>
      </x:c>
      <x:c r="K233" s="11" t="n">
        <x:v>12</x:v>
      </x:c>
      <x:c r="L233" s="11" t="str">
        <x:v>Extração parcial do início da descrição; conferir unidade/descrição completa no PDF.</x:v>
      </x:c>
      <x:c r="M233" s="11" t="str">
        <x:v>DOC-0006</x:v>
      </x:c>
      <x:c r="N233" s="11" t="n">
        <x:f>H233*I233</x:f>
        <x:v>6926.759999999999</x:v>
      </x:c>
      <x:c r="O233" s="11" t="n">
        <x:f>ROUND(N233-J233,2)</x:f>
        <x:v>0</x:v>
      </x:c>
    </x:row>
    <x:row r="234" ht="84" customHeight="1">
      <x:c r="A234" s="8" t="str">
        <x:v>ED-0006</x:v>
      </x:c>
      <x:c r="B234" s="8" t="str">
        <x:v>Diamantino</x:v>
      </x:c>
      <x:c r="C234" s="8" t="str">
        <x:v>Arenápolis</x:v>
      </x:c>
      <x:c r="D234" s="8" t="n">
        <x:v>31</x:v>
      </x:c>
      <x:c r="E234" s="8" t="str">
        <x:v>MANTEIGA PURA COM SAL</x:v>
      </x:c>
      <x:c r="F234" s="8" t="str">
        <x:v>MANTEIGA PURA COM SAL,</x:v>
      </x:c>
      <x:c r="G234" s="8" t="str">
        <x:v>Unidade de</x:v>
      </x:c>
      <x:c r="H234" s="11" t="n">
        <x:v>626</x:v>
      </x:c>
      <x:c r="I234" s="11" t="n">
        <x:v>33.49</x:v>
      </x:c>
      <x:c r="J234" s="11" t="n">
        <x:v>20964.74</x:v>
      </x:c>
      <x:c r="K234" s="11" t="n">
        <x:v>12</x:v>
      </x:c>
      <x:c r="L234" s="11" t="str">
        <x:v>Extração parcial do início da descrição; conferir unidade/descrição completa no PDF.</x:v>
      </x:c>
      <x:c r="M234" s="11" t="str">
        <x:v>DOC-0006</x:v>
      </x:c>
      <x:c r="N234" s="11" t="n">
        <x:f>H234*I234</x:f>
        <x:v>20964.74</x:v>
      </x:c>
      <x:c r="O234" s="11" t="n">
        <x:f>ROUND(N234-J234,2)</x:f>
        <x:v>0</x:v>
      </x:c>
    </x:row>
    <x:row r="235" ht="84" customHeight="1">
      <x:c r="A235" s="8" t="str">
        <x:v>ED-0006</x:v>
      </x:c>
      <x:c r="B235" s="8" t="str">
        <x:v>Diamantino</x:v>
      </x:c>
      <x:c r="C235" s="8" t="str">
        <x:v>Arenápolis</x:v>
      </x:c>
      <x:c r="D235" s="8" t="n">
        <x:v>32</x:v>
      </x:c>
      <x:c r="E235" s="8" t="str">
        <x:v>MELANCIA</x:v>
      </x:c>
      <x:c r="F235" s="8" t="str">
        <x:v>MELANCIA,          inteira,    livre    de</x:v>
      </x:c>
      <x:c r="G235" s="8" t="str">
        <x:v>Quilograma</x:v>
      </x:c>
      <x:c r="H235" s="11" t="n">
        <x:v>761</x:v>
      </x:c>
      <x:c r="I235" s="11" t="n">
        <x:v>4.49</x:v>
      </x:c>
      <x:c r="J235" s="11" t="n">
        <x:v>3416.89</x:v>
      </x:c>
      <x:c r="K235" s="11" t="n">
        <x:v>13</x:v>
      </x:c>
      <x:c r="L235" s="11" t="str">
        <x:v>Extração parcial do início da descrição; conferir unidade/descrição completa no PDF.</x:v>
      </x:c>
      <x:c r="M235" s="11" t="str">
        <x:v>DOC-0006</x:v>
      </x:c>
      <x:c r="N235" s="11" t="n">
        <x:f>H235*I235</x:f>
        <x:v>3416.8900000000003</x:v>
      </x:c>
      <x:c r="O235" s="11" t="n">
        <x:f>ROUND(N235-J235,2)</x:f>
        <x:v>0</x:v>
      </x:c>
    </x:row>
    <x:row r="236" ht="84" customHeight="1">
      <x:c r="A236" s="8" t="str">
        <x:v>ED-0006</x:v>
      </x:c>
      <x:c r="B236" s="8" t="str">
        <x:v>Diamantino</x:v>
      </x:c>
      <x:c r="C236" s="8" t="str">
        <x:v>Arenápolis</x:v>
      </x:c>
      <x:c r="D236" s="8" t="n">
        <x:v>34</x:v>
      </x:c>
      <x:c r="E236" s="8" t="str">
        <x:v>PÃO CASEIRO</x:v>
      </x:c>
      <x:c r="F236" s="8" t="str">
        <x:v>PÃO CASEIRO, de boa qualidade,</x:v>
      </x:c>
      <x:c r="G236" s="8" t="str">
        <x:v>Quilograma</x:v>
      </x:c>
      <x:c r="H236" s="11" t="n">
        <x:v>705</x:v>
      </x:c>
      <x:c r="I236" s="11" t="n">
        <x:v>24</x:v>
      </x:c>
      <x:c r="J236" s="11" t="n">
        <x:v>16920</x:v>
      </x:c>
      <x:c r="K236" s="11" t="n">
        <x:v>13</x:v>
      </x:c>
      <x:c r="L236" s="11" t="str">
        <x:v>Extração parcial do início da descrição; conferir unidade/descrição completa no PDF.</x:v>
      </x:c>
      <x:c r="M236" s="11" t="str">
        <x:v>DOC-0006</x:v>
      </x:c>
      <x:c r="N236" s="11" t="n">
        <x:f>H236*I236</x:f>
        <x:v>16920</x:v>
      </x:c>
      <x:c r="O236" s="11" t="n">
        <x:f>ROUND(N236-J236,2)</x:f>
        <x:v>0</x:v>
      </x:c>
    </x:row>
    <x:row r="237" ht="84" customHeight="1">
      <x:c r="A237" s="8" t="str">
        <x:v>ED-0006</x:v>
      </x:c>
      <x:c r="B237" s="8" t="str">
        <x:v>Diamantino</x:v>
      </x:c>
      <x:c r="C237" s="8" t="str">
        <x:v>Arenápolis</x:v>
      </x:c>
      <x:c r="D237" s="8" t="n">
        <x:v>35</x:v>
      </x:c>
      <x:c r="E237" s="8" t="str">
        <x:v>PEIXE PINTADO FILÉ</x:v>
      </x:c>
      <x:c r="F237" s="8" t="str">
        <x:v>PEIXE PINTADO FILÉ, de água</x:v>
      </x:c>
      <x:c r="G237" s="8" t="str">
        <x:v>Unidade de</x:v>
      </x:c>
      <x:c r="H237" s="11" t="n">
        <x:v>288</x:v>
      </x:c>
      <x:c r="I237" s="11" t="n">
        <x:v>72.52</x:v>
      </x:c>
      <x:c r="J237" s="11" t="n">
        <x:v>20885.76</x:v>
      </x:c>
      <x:c r="K237" s="11" t="n">
        <x:v>13</x:v>
      </x:c>
      <x:c r="L237" s="11" t="str">
        <x:v>Extração parcial do início da descrição; conferir unidade/descrição completa no PDF.</x:v>
      </x:c>
      <x:c r="M237" s="11" t="str">
        <x:v>DOC-0006</x:v>
      </x:c>
      <x:c r="N237" s="11" t="n">
        <x:f>H237*I237</x:f>
        <x:v>20885.76</x:v>
      </x:c>
      <x:c r="O237" s="11" t="n">
        <x:f>ROUND(N237-J237,2)</x:f>
        <x:v>0</x:v>
      </x:c>
    </x:row>
    <x:row r="238" ht="84" customHeight="1">
      <x:c r="A238" s="8" t="str">
        <x:v>ED-0006</x:v>
      </x:c>
      <x:c r="B238" s="8" t="str">
        <x:v>Diamantino</x:v>
      </x:c>
      <x:c r="C238" s="8" t="str">
        <x:v>Arenápolis</x:v>
      </x:c>
      <x:c r="D238" s="8" t="n">
        <x:v>36</x:v>
      </x:c>
      <x:c r="E238" s="8" t="str">
        <x:v>PEIXE TILÁPIA FILÉ</x:v>
      </x:c>
      <x:c r="F238" s="8" t="str">
        <x:v>PEIXE TILÁPIA FILÉ, peixe de água</x:v>
      </x:c>
      <x:c r="G238" s="8" t="str">
        <x:v>Unidade de</x:v>
      </x:c>
      <x:c r="H238" s="11" t="n">
        <x:v>288</x:v>
      </x:c>
      <x:c r="I238" s="11" t="n">
        <x:v>68.87</x:v>
      </x:c>
      <x:c r="J238" s="11" t="n">
        <x:v>19834.56</x:v>
      </x:c>
      <x:c r="K238" s="11" t="n">
        <x:v>14</x:v>
      </x:c>
      <x:c r="L238" s="11" t="str">
        <x:v>Extração parcial do início da descrição; conferir unidade/descrição completa no PDF.</x:v>
      </x:c>
      <x:c r="M238" s="11" t="str">
        <x:v>DOC-0006</x:v>
      </x:c>
      <x:c r="N238" s="11" t="n">
        <x:f>H238*I238</x:f>
        <x:v>19834.56</x:v>
      </x:c>
      <x:c r="O238" s="11" t="n">
        <x:f>ROUND(N238-J238,2)</x:f>
        <x:v>0</x:v>
      </x:c>
    </x:row>
    <x:row r="239" ht="84" customHeight="1">
      <x:c r="A239" s="8" t="str">
        <x:v>ED-0006</x:v>
      </x:c>
      <x:c r="B239" s="8" t="str">
        <x:v>Diamantino</x:v>
      </x:c>
      <x:c r="C239" s="8" t="str">
        <x:v>Arenápolis</x:v>
      </x:c>
      <x:c r="D239" s="8" t="n">
        <x:v>37</x:v>
      </x:c>
      <x:c r="E239" s="8" t="str">
        <x:v>PEPINO</x:v>
      </x:c>
      <x:c r="F239" s="8" t="str">
        <x:v>PEPINO, inteiro, livre de sujidades,</x:v>
      </x:c>
      <x:c r="G239" s="8" t="str">
        <x:v>Quilograma</x:v>
      </x:c>
      <x:c r="H239" s="11" t="n">
        <x:v>152</x:v>
      </x:c>
      <x:c r="I239" s="11" t="n">
        <x:v>7.63</x:v>
      </x:c>
      <x:c r="J239" s="11" t="n">
        <x:v>1159.76</x:v>
      </x:c>
      <x:c r="K239" s="11" t="n">
        <x:v>14</x:v>
      </x:c>
      <x:c r="L239" s="11" t="str">
        <x:v>Extração parcial do início da descrição; conferir unidade/descrição completa no PDF.</x:v>
      </x:c>
      <x:c r="M239" s="11" t="str">
        <x:v>DOC-0006</x:v>
      </x:c>
      <x:c r="N239" s="11" t="n">
        <x:f>H239*I239</x:f>
        <x:v>1159.76</x:v>
      </x:c>
      <x:c r="O239" s="11" t="n">
        <x:f>ROUND(N239-J239,2)</x:f>
        <x:v>0</x:v>
      </x:c>
    </x:row>
    <x:row r="240" ht="84" customHeight="1">
      <x:c r="A240" s="8" t="str">
        <x:v>ED-0006</x:v>
      </x:c>
      <x:c r="B240" s="8" t="str">
        <x:v>Diamantino</x:v>
      </x:c>
      <x:c r="C240" s="8" t="str">
        <x:v>Arenápolis</x:v>
      </x:c>
      <x:c r="D240" s="8" t="n">
        <x:v>38</x:v>
      </x:c>
      <x:c r="E240" s="8" t="str">
        <x:v>PIMENTA DE CHEIRO</x:v>
      </x:c>
      <x:c r="F240" s="8" t="str">
        <x:v>PIMENTA DE CHEIRO, inteira, livre</x:v>
      </x:c>
      <x:c r="G240" s="8" t="str">
        <x:v>Quilograma</x:v>
      </x:c>
      <x:c r="H240" s="11" t="n">
        <x:v>63</x:v>
      </x:c>
      <x:c r="I240" s="11" t="n">
        <x:v>45.03</x:v>
      </x:c>
      <x:c r="J240" s="11" t="n">
        <x:v>2836.89</x:v>
      </x:c>
      <x:c r="K240" s="11" t="n">
        <x:v>14</x:v>
      </x:c>
      <x:c r="L240" s="11" t="str">
        <x:v>Extração parcial do início da descrição; conferir unidade/descrição completa no PDF.</x:v>
      </x:c>
      <x:c r="M240" s="11" t="str">
        <x:v>DOC-0006</x:v>
      </x:c>
      <x:c r="N240" s="11" t="n">
        <x:f>H240*I240</x:f>
        <x:v>2836.89</x:v>
      </x:c>
      <x:c r="O240" s="11" t="n">
        <x:f>ROUND(N240-J240,2)</x:f>
        <x:v>0</x:v>
      </x:c>
    </x:row>
    <x:row r="241" ht="84" customHeight="1">
      <x:c r="A241" s="8" t="str">
        <x:v>ED-0006</x:v>
      </x:c>
      <x:c r="B241" s="8" t="str">
        <x:v>Diamantino</x:v>
      </x:c>
      <x:c r="C241" s="8" t="str">
        <x:v>Arenápolis</x:v>
      </x:c>
      <x:c r="D241" s="8" t="n">
        <x:v>39</x:v>
      </x:c>
      <x:c r="E241" s="8" t="str">
        <x:v>PIMENTÃO VERDE</x:v>
      </x:c>
      <x:c r="F241" s="8" t="str">
        <x:v>PIMENTÃO VERDE, inteiro, livre de</x:v>
      </x:c>
      <x:c r="G241" s="8" t="str">
        <x:v>Quilograma</x:v>
      </x:c>
      <x:c r="H241" s="11" t="n">
        <x:v>65</x:v>
      </x:c>
      <x:c r="I241" s="11" t="n">
        <x:v>11.77</x:v>
      </x:c>
      <x:c r="J241" s="11" t="n">
        <x:v>765.05</x:v>
      </x:c>
      <x:c r="K241" s="11" t="n">
        <x:v>15</x:v>
      </x:c>
      <x:c r="L241" s="11" t="str">
        <x:v>Extração parcial do início da descrição; conferir unidade/descrição completa no PDF.</x:v>
      </x:c>
      <x:c r="M241" s="11" t="str">
        <x:v>DOC-0006</x:v>
      </x:c>
      <x:c r="N241" s="11" t="n">
        <x:f>H241*I241</x:f>
        <x:v>765.05</x:v>
      </x:c>
      <x:c r="O241" s="11" t="n">
        <x:f>ROUND(N241-J241,2)</x:f>
        <x:v>0</x:v>
      </x:c>
    </x:row>
    <x:row r="242" ht="84" customHeight="1">
      <x:c r="A242" s="8" t="str">
        <x:v>ED-0006</x:v>
      </x:c>
      <x:c r="B242" s="8" t="str">
        <x:v>Diamantino</x:v>
      </x:c>
      <x:c r="C242" s="8" t="str">
        <x:v>Arenápolis</x:v>
      </x:c>
      <x:c r="D242" s="8" t="n">
        <x:v>40</x:v>
      </x:c>
      <x:c r="E242" s="8" t="str">
        <x:v>POLPA DE ABACAXI</x:v>
      </x:c>
      <x:c r="F242" s="8" t="str">
        <x:v>POLPA DE ABACAXI, SEM adição</x:v>
      </x:c>
      <x:c r="G242" s="8" t="str">
        <x:v>Unidade de</x:v>
      </x:c>
      <x:c r="H242" s="11" t="n">
        <x:v>435</x:v>
      </x:c>
      <x:c r="I242" s="11" t="n">
        <x:v>31.89</x:v>
      </x:c>
      <x:c r="J242" s="11" t="n">
        <x:v>13872.15</x:v>
      </x:c>
      <x:c r="K242" s="11" t="n">
        <x:v>15</x:v>
      </x:c>
      <x:c r="L242" s="11" t="str">
        <x:v>Extração parcial do início da descrição; conferir unidade/descrição completa no PDF.</x:v>
      </x:c>
      <x:c r="M242" s="11" t="str">
        <x:v>DOC-0006</x:v>
      </x:c>
      <x:c r="N242" s="11" t="n">
        <x:f>H242*I242</x:f>
        <x:v>13872.15</x:v>
      </x:c>
      <x:c r="O242" s="11" t="n">
        <x:f>ROUND(N242-J242,2)</x:f>
        <x:v>0</x:v>
      </x:c>
    </x:row>
    <x:row r="243" ht="84" customHeight="1">
      <x:c r="A243" s="8" t="str">
        <x:v>ED-0006</x:v>
      </x:c>
      <x:c r="B243" s="8" t="str">
        <x:v>Diamantino</x:v>
      </x:c>
      <x:c r="C243" s="8" t="str">
        <x:v>Arenápolis</x:v>
      </x:c>
      <x:c r="D243" s="8" t="n">
        <x:v>41</x:v>
      </x:c>
      <x:c r="E243" s="8" t="str">
        <x:v>POLPA DE ACEROLA</x:v>
      </x:c>
      <x:c r="F243" s="8" t="str">
        <x:v>POLPA DE ACEROLA, SEM adição</x:v>
      </x:c>
      <x:c r="G243" s="8" t="str">
        <x:v>Unidade de</x:v>
      </x:c>
      <x:c r="H243" s="11" t="n">
        <x:v>434</x:v>
      </x:c>
      <x:c r="I243" s="11" t="n">
        <x:v>30.91</x:v>
      </x:c>
      <x:c r="J243" s="11" t="n">
        <x:v>13414.94</x:v>
      </x:c>
      <x:c r="K243" s="11" t="n">
        <x:v>15</x:v>
      </x:c>
      <x:c r="L243" s="11" t="str">
        <x:v>Extração parcial do início da descrição; conferir unidade/descrição completa no PDF.</x:v>
      </x:c>
      <x:c r="M243" s="11" t="str">
        <x:v>DOC-0006</x:v>
      </x:c>
      <x:c r="N243" s="11" t="n">
        <x:f>H243*I243</x:f>
        <x:v>13414.94</x:v>
      </x:c>
      <x:c r="O243" s="11" t="n">
        <x:f>ROUND(N243-J243,2)</x:f>
        <x:v>0</x:v>
      </x:c>
    </x:row>
    <x:row r="244" ht="84" customHeight="1">
      <x:c r="A244" s="8" t="str">
        <x:v>ED-0006</x:v>
      </x:c>
      <x:c r="B244" s="8" t="str">
        <x:v>Diamantino</x:v>
      </x:c>
      <x:c r="C244" s="8" t="str">
        <x:v>Arenápolis</x:v>
      </x:c>
      <x:c r="D244" s="8" t="n">
        <x:v>42</x:v>
      </x:c>
      <x:c r="E244" s="8" t="str">
        <x:v>POLPA DE CAJÚ</x:v>
      </x:c>
      <x:c r="F244" s="8" t="str">
        <x:v>POLPA DE CAJÚ, SEM adição de</x:v>
      </x:c>
      <x:c r="G244" s="8" t="str">
        <x:v>Unidade de</x:v>
      </x:c>
      <x:c r="H244" s="11" t="n">
        <x:v>434</x:v>
      </x:c>
      <x:c r="I244" s="11" t="n">
        <x:v>29.28</x:v>
      </x:c>
      <x:c r="J244" s="11" t="n">
        <x:v>12707.52</x:v>
      </x:c>
      <x:c r="K244" s="11" t="n">
        <x:v>16</x:v>
      </x:c>
      <x:c r="L244" s="11" t="str">
        <x:v>Extração parcial do início da descrição; conferir unidade/descrição completa no PDF.</x:v>
      </x:c>
      <x:c r="M244" s="11" t="str">
        <x:v>DOC-0006</x:v>
      </x:c>
      <x:c r="N244" s="11" t="n">
        <x:f>H244*I244</x:f>
        <x:v>12707.52</x:v>
      </x:c>
      <x:c r="O244" s="11" t="n">
        <x:f>ROUND(N244-J244,2)</x:f>
        <x:v>0</x:v>
      </x:c>
    </x:row>
    <x:row r="245" ht="84" customHeight="1">
      <x:c r="A245" s="8" t="str">
        <x:v>ED-0006</x:v>
      </x:c>
      <x:c r="B245" s="8" t="str">
        <x:v>Diamantino</x:v>
      </x:c>
      <x:c r="C245" s="8" t="str">
        <x:v>Arenápolis</x:v>
      </x:c>
      <x:c r="D245" s="8" t="n">
        <x:v>43</x:v>
      </x:c>
      <x:c r="E245" s="8" t="str">
        <x:v>PONCÃ</x:v>
      </x:c>
      <x:c r="F245" s="8" t="str">
        <x:v>PONCÃ, inteiro, livre de sujidades,</x:v>
      </x:c>
      <x:c r="G245" s="8" t="str">
        <x:v>Quilograma</x:v>
      </x:c>
      <x:c r="H245" s="11" t="n">
        <x:v>239</x:v>
      </x:c>
      <x:c r="I245" s="11" t="n">
        <x:v>15.2</x:v>
      </x:c>
      <x:c r="J245" s="11" t="n">
        <x:v>3632.8</x:v>
      </x:c>
      <x:c r="K245" s="11" t="n">
        <x:v>16</x:v>
      </x:c>
      <x:c r="L245" s="11" t="str">
        <x:v>Extração parcial do início da descrição; conferir unidade/descrição completa no PDF.</x:v>
      </x:c>
      <x:c r="M245" s="11" t="str">
        <x:v>DOC-0006</x:v>
      </x:c>
      <x:c r="N245" s="11" t="n">
        <x:f>H245*I245</x:f>
        <x:v>3632.7999999999997</x:v>
      </x:c>
      <x:c r="O245" s="11" t="n">
        <x:f>ROUND(N245-J245,2)</x:f>
        <x:v>0</x:v>
      </x:c>
    </x:row>
    <x:row r="246" ht="84" customHeight="1">
      <x:c r="A246" s="8" t="str">
        <x:v>ED-0006</x:v>
      </x:c>
      <x:c r="B246" s="8" t="str">
        <x:v>Diamantino</x:v>
      </x:c>
      <x:c r="C246" s="8" t="str">
        <x:v>Arenápolis</x:v>
      </x:c>
      <x:c r="D246" s="8" t="n">
        <x:v>44</x:v>
      </x:c>
      <x:c r="E246" s="8" t="str">
        <x:v>QUEIJO        MUSSARELA</x:v>
      </x:c>
      <x:c r="F246" s="8" t="str">
        <x:v>QUEIJO        MUSSARELA,           obtido</x:v>
      </x:c>
      <x:c r="G246" s="8" t="str">
        <x:v>Quilograma</x:v>
      </x:c>
      <x:c r="H246" s="11" t="n">
        <x:v>408</x:v>
      </x:c>
      <x:c r="I246" s="11" t="n">
        <x:v>56.08</x:v>
      </x:c>
      <x:c r="J246" s="11" t="n">
        <x:v>22880.64</x:v>
      </x:c>
      <x:c r="K246" s="11" t="n">
        <x:v>16</x:v>
      </x:c>
      <x:c r="L246" s="11" t="str">
        <x:v>Extração parcial do início da descrição; conferir unidade/descrição completa no PDF.</x:v>
      </x:c>
      <x:c r="M246" s="11" t="str">
        <x:v>DOC-0006</x:v>
      </x:c>
      <x:c r="N246" s="11" t="n">
        <x:f>H246*I246</x:f>
        <x:v>22880.64</x:v>
      </x:c>
      <x:c r="O246" s="11" t="n">
        <x:f>ROUND(N246-J246,2)</x:f>
        <x:v>0</x:v>
      </x:c>
    </x:row>
    <x:row r="247" ht="84" customHeight="1">
      <x:c r="A247" s="8" t="str">
        <x:v>ED-0006</x:v>
      </x:c>
      <x:c r="B247" s="8" t="str">
        <x:v>Diamantino</x:v>
      </x:c>
      <x:c r="C247" s="8" t="str">
        <x:v>Arenápolis</x:v>
      </x:c>
      <x:c r="D247" s="8" t="n">
        <x:v>45</x:v>
      </x:c>
      <x:c r="E247" s="8" t="str">
        <x:v>REPOLHO               BRANCO/VERDE</x:v>
      </x:c>
      <x:c r="F247" s="8" t="str">
        <x:v>REPOLHO               BRANCO/VERDE,</x:v>
      </x:c>
      <x:c r="G247" s="8" t="str">
        <x:v>Quilograma</x:v>
      </x:c>
      <x:c r="H247" s="11" t="n">
        <x:v>1143</x:v>
      </x:c>
      <x:c r="I247" s="11" t="n">
        <x:v>6.23</x:v>
      </x:c>
      <x:c r="J247" s="11" t="n">
        <x:v>7120.89</x:v>
      </x:c>
      <x:c r="K247" s="11" t="n">
        <x:v>17</x:v>
      </x:c>
      <x:c r="L247" s="11" t="str">
        <x:v>Extração parcial do início da descrição; conferir unidade/descrição completa no PDF.</x:v>
      </x:c>
      <x:c r="M247" s="11" t="str">
        <x:v>DOC-0006</x:v>
      </x:c>
      <x:c r="N247" s="11" t="n">
        <x:f>H247*I247</x:f>
        <x:v>7120.89</x:v>
      </x:c>
      <x:c r="O247" s="11" t="n">
        <x:f>ROUND(N247-J247,2)</x:f>
        <x:v>0</x:v>
      </x:c>
    </x:row>
    <x:row r="248" ht="84" customHeight="1">
      <x:c r="A248" s="8" t="str">
        <x:v>ED-0006</x:v>
      </x:c>
      <x:c r="B248" s="8" t="str">
        <x:v>Diamantino</x:v>
      </x:c>
      <x:c r="C248" s="8" t="str">
        <x:v>Arenápolis</x:v>
      </x:c>
      <x:c r="D248" s="8" t="n">
        <x:v>46</x:v>
      </x:c>
      <x:c r="E248" s="8" t="str">
        <x:v>REQUEIJÃO CREMOSO</x:v>
      </x:c>
      <x:c r="F248" s="8" t="str">
        <x:v>REQUEIJÃO CREMOSO, produzido</x:v>
      </x:c>
      <x:c r="G248" s="8" t="str">
        <x:v>Unidade de</x:v>
      </x:c>
      <x:c r="H248" s="11" t="n">
        <x:v>193</x:v>
      </x:c>
      <x:c r="I248" s="11" t="n">
        <x:v>11.02</x:v>
      </x:c>
      <x:c r="J248" s="11" t="n">
        <x:v>2126.86</x:v>
      </x:c>
      <x:c r="K248" s="11" t="n">
        <x:v>17</x:v>
      </x:c>
      <x:c r="L248" s="11" t="str">
        <x:v>Extração parcial do início da descrição; conferir unidade/descrição completa no PDF.</x:v>
      </x:c>
      <x:c r="M248" s="11" t="str">
        <x:v>DOC-0006</x:v>
      </x:c>
      <x:c r="N248" s="11" t="n">
        <x:f>H248*I248</x:f>
        <x:v>2126.86</x:v>
      </x:c>
      <x:c r="O248" s="11" t="n">
        <x:f>ROUND(N248-J248,2)</x:f>
        <x:v>0</x:v>
      </x:c>
    </x:row>
    <x:row r="249" ht="84" customHeight="1">
      <x:c r="A249" s="8" t="str">
        <x:v>ED-0006</x:v>
      </x:c>
      <x:c r="B249" s="8" t="str">
        <x:v>Diamantino</x:v>
      </x:c>
      <x:c r="C249" s="8" t="str">
        <x:v>Arenápolis</x:v>
      </x:c>
      <x:c r="D249" s="8" t="n">
        <x:v>47</x:v>
      </x:c>
      <x:c r="E249" s="8" t="str">
        <x:v>RÚCULA</x:v>
      </x:c>
      <x:c r="F249" s="8" t="str">
        <x:v>RÚCULA, com folhas inteiras, livre de</x:v>
      </x:c>
      <x:c r="G249" s="8" t="str">
        <x:v>Quilograma</x:v>
      </x:c>
      <x:c r="H249" s="11" t="n">
        <x:v>374</x:v>
      </x:c>
      <x:c r="I249" s="11" t="n">
        <x:v>27.38</x:v>
      </x:c>
      <x:c r="J249" s="11" t="n">
        <x:v>10240.12</x:v>
      </x:c>
      <x:c r="K249" s="11" t="n">
        <x:v>18</x:v>
      </x:c>
      <x:c r="L249" s="11" t="str">
        <x:v>Extração parcial do início da descrição; conferir unidade/descrição completa no PDF.</x:v>
      </x:c>
      <x:c r="M249" s="11" t="str">
        <x:v>DOC-0006</x:v>
      </x:c>
      <x:c r="N249" s="11" t="n">
        <x:f>H249*I249</x:f>
        <x:v>10240.119999999999</x:v>
      </x:c>
      <x:c r="O249" s="11" t="n">
        <x:f>ROUND(N249-J249,2)</x:f>
        <x:v>0</x:v>
      </x:c>
    </x:row>
    <x:row r="250" ht="84" customHeight="1">
      <x:c r="A250" s="8" t="str">
        <x:v>ED-0006</x:v>
      </x:c>
      <x:c r="B250" s="8" t="str">
        <x:v>Diamantino</x:v>
      </x:c>
      <x:c r="C250" s="8" t="str">
        <x:v>Arenápolis</x:v>
      </x:c>
      <x:c r="D250" s="8" t="n">
        <x:v>48</x:v>
      </x:c>
      <x:c r="E250" s="8" t="str">
        <x:v>SALSA</x:v>
      </x:c>
      <x:c r="F250" s="8" t="str">
        <x:v>SALSA, com talos e folhas inteiros,</x:v>
      </x:c>
      <x:c r="G250" s="8" t="str">
        <x:v>Quilograma</x:v>
      </x:c>
      <x:c r="H250" s="11" t="n">
        <x:v>214</x:v>
      </x:c>
      <x:c r="I250" s="11" t="n">
        <x:v>28.75</x:v>
      </x:c>
      <x:c r="J250" s="11" t="n">
        <x:v>6152.5</x:v>
      </x:c>
      <x:c r="K250" s="11" t="n">
        <x:v>18</x:v>
      </x:c>
      <x:c r="L250" s="11" t="str">
        <x:v>Extração parcial do início da descrição; conferir unidade/descrição completa no PDF.</x:v>
      </x:c>
      <x:c r="M250" s="11" t="str">
        <x:v>DOC-0006</x:v>
      </x:c>
      <x:c r="N250" s="11" t="n">
        <x:f>H250*I250</x:f>
        <x:v>6152.5</x:v>
      </x:c>
      <x:c r="O250" s="11" t="n">
        <x:f>ROUND(N250-J250,2)</x:f>
        <x:v>0</x:v>
      </x:c>
    </x:row>
    <x:row r="251" ht="84" customHeight="1">
      <x:c r="A251" s="8" t="str">
        <x:v>ED-0006</x:v>
      </x:c>
      <x:c r="B251" s="8" t="str">
        <x:v>Diamantino</x:v>
      </x:c>
      <x:c r="C251" s="8" t="str">
        <x:v>Arenápolis</x:v>
      </x:c>
      <x:c r="D251" s="8" t="n">
        <x:v>49</x:v>
      </x:c>
      <x:c r="E251" s="8" t="str">
        <x:v>TOMATE SALADA</x:v>
      </x:c>
      <x:c r="F251" s="8" t="str">
        <x:v>TOMATE SALADA, inteiros, sem</x:v>
      </x:c>
      <x:c r="G251" s="8" t="str">
        <x:v>Quilograma</x:v>
      </x:c>
      <x:c r="H251" s="11" t="n">
        <x:v>769</x:v>
      </x:c>
      <x:c r="I251" s="11" t="n">
        <x:v>10.48</x:v>
      </x:c>
      <x:c r="J251" s="11" t="n">
        <x:v>8059.12</x:v>
      </x:c>
      <x:c r="K251" s="11" t="n">
        <x:v>18</x:v>
      </x:c>
      <x:c r="L251" s="11" t="str">
        <x:v>Extração parcial do início da descrição; conferir unidade/descrição completa no PDF.</x:v>
      </x:c>
      <x:c r="M251" s="11" t="str">
        <x:v>DOC-0006</x:v>
      </x:c>
      <x:c r="N251" s="11" t="n">
        <x:f>H251*I251</x:f>
        <x:v>8059.12</x:v>
      </x:c>
      <x:c r="O251" s="11" t="n">
        <x:f>ROUND(N251-J251,2)</x:f>
        <x:v>0</x:v>
      </x:c>
    </x:row>
    <x:row r="252" ht="84" customHeight="1">
      <x:c r="A252" s="8" t="str">
        <x:v>ED-0006</x:v>
      </x:c>
      <x:c r="B252" s="8" t="str">
        <x:v>Diamantino</x:v>
      </x:c>
      <x:c r="C252" s="8" t="str">
        <x:v>Arenápolis</x:v>
      </x:c>
      <x:c r="D252" s="8" t="n">
        <x:v>50</x:v>
      </x:c>
      <x:c r="E252" s="8" t="str">
        <x:v>VAGEM</x:v>
      </x:c>
      <x:c r="F252" s="8" t="str">
        <x:v>VAGEM, inteira, livre de sujidades,</x:v>
      </x:c>
      <x:c r="G252" s="8" t="str">
        <x:v>Quilograma</x:v>
      </x:c>
      <x:c r="H252" s="11" t="n">
        <x:v>163</x:v>
      </x:c>
      <x:c r="I252" s="11" t="n">
        <x:v>22.87</x:v>
      </x:c>
      <x:c r="J252" s="11" t="n">
        <x:v>3727.81</x:v>
      </x:c>
      <x:c r="K252" s="11" t="n">
        <x:v>19</x:v>
      </x:c>
      <x:c r="L252" s="11" t="str">
        <x:v>Extração parcial do início da descrição; conferir unidade/descrição completa no PDF.</x:v>
      </x:c>
      <x:c r="M252" s="11" t="str">
        <x:v>DOC-0006</x:v>
      </x:c>
      <x:c r="N252" s="11" t="n">
        <x:f>H252*I252</x:f>
        <x:v>3727.81</x:v>
      </x:c>
      <x:c r="O252" s="11" t="n">
        <x:f>ROUND(N252-J252,2)</x:f>
        <x:v>0</x:v>
      </x:c>
    </x:row>
    <x:row r="253" ht="84" customHeight="1">
      <x:c r="A253" s="8" t="str">
        <x:v>ED-0007</x:v>
      </x:c>
      <x:c r="B253" s="8" t="str">
        <x:v>Diamantino</x:v>
      </x:c>
      <x:c r="C253" s="8" t="str">
        <x:v>Alto Paraguai - urbano</x:v>
      </x:c>
      <x:c r="D253" s="8" t="n">
        <x:v>1</x:v>
      </x:c>
      <x:c r="E253" s="8" t="str">
        <x:v>ABACATE</x:v>
      </x:c>
      <x:c r="F253" s="8" t="str">
        <x:v>ABACATE, inteiro, livre de sujidades,</x:v>
      </x:c>
      <x:c r="G253" s="8" t="str">
        <x:v>Quilograma</x:v>
      </x:c>
      <x:c r="H253" s="11" t="n">
        <x:v>17</x:v>
      </x:c>
      <x:c r="I253" s="11" t="n">
        <x:v>22.4</x:v>
      </x:c>
      <x:c r="J253" s="11" t="n">
        <x:v>380.08</x:v>
      </x:c>
      <x:c r="K253" s="11" t="n">
        <x:v>3</x:v>
      </x:c>
      <x:c r="L253" s="11" t="str">
        <x:v>Extração parcial do início da descrição; conferir unidade/descrição completa no PDF. DIVERGÊNCIA ARITMÉTICA NA FONTE.</x:v>
      </x:c>
      <x:c r="M253" s="11" t="str">
        <x:v>DOC-0007</x:v>
      </x:c>
      <x:c r="N253" s="11" t="n">
        <x:f>H253*I253</x:f>
        <x:v>380.79999999999995</x:v>
      </x:c>
      <x:c r="O253" s="11" t="n">
        <x:f>ROUND(N253-J253,2)</x:f>
        <x:v>0.72</x:v>
      </x:c>
    </x:row>
    <x:row r="254" ht="84" customHeight="1">
      <x:c r="A254" s="8" t="str">
        <x:v>ED-0007</x:v>
      </x:c>
      <x:c r="B254" s="8" t="str">
        <x:v>Diamantino</x:v>
      </x:c>
      <x:c r="C254" s="8" t="str">
        <x:v>Alto Paraguai - urbano</x:v>
      </x:c>
      <x:c r="D254" s="8" t="n">
        <x:v>2</x:v>
      </x:c>
      <x:c r="E254" s="8" t="str">
        <x:v>ABACAXI PÉROLA</x:v>
      </x:c>
      <x:c r="F254" s="8" t="str">
        <x:v>ABACAXI PÉROLA, inteiro, livre de</x:v>
      </x:c>
      <x:c r="G254" s="8" t="str">
        <x:v>Quilograma</x:v>
      </x:c>
      <x:c r="H254" s="11" t="n">
        <x:v>211</x:v>
      </x:c>
      <x:c r="I254" s="11" t="n">
        <x:v>12.46</x:v>
      </x:c>
      <x:c r="J254" s="11" t="n">
        <x:v>2629.06</x:v>
      </x:c>
      <x:c r="K254" s="11" t="n">
        <x:v>3</x:v>
      </x:c>
      <x:c r="L254" s="11" t="str">
        <x:v>Extração parcial do início da descrição; conferir unidade/descrição completa no PDF.</x:v>
      </x:c>
      <x:c r="M254" s="11" t="str">
        <x:v>DOC-0007</x:v>
      </x:c>
      <x:c r="N254" s="11" t="n">
        <x:f>H254*I254</x:f>
        <x:v>2629.0600000000004</x:v>
      </x:c>
      <x:c r="O254" s="11" t="n">
        <x:f>ROUND(N254-J254,2)</x:f>
        <x:v>0</x:v>
      </x:c>
    </x:row>
    <x:row r="255" ht="84" customHeight="1">
      <x:c r="A255" s="8" t="str">
        <x:v>ED-0007</x:v>
      </x:c>
      <x:c r="B255" s="8" t="str">
        <x:v>Diamantino</x:v>
      </x:c>
      <x:c r="C255" s="8" t="str">
        <x:v>Alto Paraguai - urbano</x:v>
      </x:c>
      <x:c r="D255" s="8" t="n">
        <x:v>3</x:v>
      </x:c>
      <x:c r="E255" s="8" t="str">
        <x:v>ABÓBORA CABOTIÃ</x:v>
      </x:c>
      <x:c r="F255" s="8" t="str">
        <x:v>ABÓBORA CABOTIÃ, inteira, livre</x:v>
      </x:c>
      <x:c r="G255" s="8" t="str">
        <x:v>Quilograma</x:v>
      </x:c>
      <x:c r="H255" s="11" t="n">
        <x:v>140</x:v>
      </x:c>
      <x:c r="I255" s="11" t="n">
        <x:v>6.41</x:v>
      </x:c>
      <x:c r="J255" s="11" t="n">
        <x:v>897.4</x:v>
      </x:c>
      <x:c r="K255" s="11" t="n">
        <x:v>3</x:v>
      </x:c>
      <x:c r="L255" s="11" t="str">
        <x:v>Extração parcial do início da descrição; conferir unidade/descrição completa no PDF.</x:v>
      </x:c>
      <x:c r="M255" s="11" t="str">
        <x:v>DOC-0007</x:v>
      </x:c>
      <x:c r="N255" s="11" t="n">
        <x:f>H255*I255</x:f>
        <x:v>897.4</x:v>
      </x:c>
      <x:c r="O255" s="11" t="n">
        <x:f>ROUND(N255-J255,2)</x:f>
        <x:v>0</x:v>
      </x:c>
    </x:row>
    <x:row r="256" ht="84" customHeight="1">
      <x:c r="A256" s="8" t="str">
        <x:v>ED-0007</x:v>
      </x:c>
      <x:c r="B256" s="8" t="str">
        <x:v>Diamantino</x:v>
      </x:c>
      <x:c r="C256" s="8" t="str">
        <x:v>Alto Paraguai - urbano</x:v>
      </x:c>
      <x:c r="D256" s="8" t="n">
        <x:v>4</x:v>
      </x:c>
      <x:c r="E256" s="8" t="str">
        <x:v>AÇAFRÃO</x:v>
      </x:c>
      <x:c r="F256" s="8" t="str">
        <x:v>AÇAFRÃO, torrado, em pó fino e</x:v>
      </x:c>
      <x:c r="G256" s="8" t="str">
        <x:v>Unidade de</x:v>
      </x:c>
      <x:c r="H256" s="11" t="n">
        <x:v>99</x:v>
      </x:c>
      <x:c r="I256" s="11" t="n">
        <x:v>5.4</x:v>
      </x:c>
      <x:c r="J256" s="11" t="n">
        <x:v>534.6</x:v>
      </x:c>
      <x:c r="K256" s="11" t="n">
        <x:v>4</x:v>
      </x:c>
      <x:c r="L256" s="11" t="str">
        <x:v>Extração parcial do início da descrição; conferir unidade/descrição completa no PDF.</x:v>
      </x:c>
      <x:c r="M256" s="11" t="str">
        <x:v>DOC-0007</x:v>
      </x:c>
      <x:c r="N256" s="11" t="n">
        <x:f>H256*I256</x:f>
        <x:v>534.6</x:v>
      </x:c>
      <x:c r="O256" s="11" t="n">
        <x:f>ROUND(N256-J256,2)</x:f>
        <x:v>0</x:v>
      </x:c>
    </x:row>
    <x:row r="257" ht="84" customHeight="1">
      <x:c r="A257" s="8" t="str">
        <x:v>ED-0007</x:v>
      </x:c>
      <x:c r="B257" s="8" t="str">
        <x:v>Diamantino</x:v>
      </x:c>
      <x:c r="C257" s="8" t="str">
        <x:v>Alto Paraguai - urbano</x:v>
      </x:c>
      <x:c r="D257" s="8" t="n">
        <x:v>6</x:v>
      </x:c>
      <x:c r="E257" s="8" t="str">
        <x:v>AGRIÃO</x:v>
      </x:c>
      <x:c r="F257" s="8" t="str">
        <x:v>AGRIÃO, com folhas inteiras, livre de</x:v>
      </x:c>
      <x:c r="G257" s="8" t="str">
        <x:v>Quilograma</x:v>
      </x:c>
      <x:c r="H257" s="11" t="n">
        <x:v>63</x:v>
      </x:c>
      <x:c r="I257" s="11" t="n">
        <x:v>28.47</x:v>
      </x:c>
      <x:c r="J257" s="11" t="n">
        <x:v>1793.61</x:v>
      </x:c>
      <x:c r="K257" s="11" t="n">
        <x:v>4</x:v>
      </x:c>
      <x:c r="L257" s="11" t="str">
        <x:v>Extração parcial do início da descrição; conferir unidade/descrição completa no PDF.</x:v>
      </x:c>
      <x:c r="M257" s="11" t="str">
        <x:v>DOC-0007</x:v>
      </x:c>
      <x:c r="N257" s="11" t="n">
        <x:f>H257*I257</x:f>
        <x:v>1793.61</x:v>
      </x:c>
      <x:c r="O257" s="11" t="n">
        <x:f>ROUND(N257-J257,2)</x:f>
        <x:v>0</x:v>
      </x:c>
    </x:row>
    <x:row r="258" ht="84" customHeight="1">
      <x:c r="A258" s="8" t="str">
        <x:v>ED-0007</x:v>
      </x:c>
      <x:c r="B258" s="8" t="str">
        <x:v>Diamantino</x:v>
      </x:c>
      <x:c r="C258" s="8" t="str">
        <x:v>Alto Paraguai - urbano</x:v>
      </x:c>
      <x:c r="D258" s="8" t="n">
        <x:v>7</x:v>
      </x:c>
      <x:c r="E258" s="8" t="str">
        <x:v>ALFACE CRESPA</x:v>
      </x:c>
      <x:c r="F258" s="8" t="str">
        <x:v>ALFACE CRESPA, com folhas</x:v>
      </x:c>
      <x:c r="G258" s="8" t="str">
        <x:v>Quilograma</x:v>
      </x:c>
      <x:c r="H258" s="11" t="n">
        <x:v>470</x:v>
      </x:c>
      <x:c r="I258" s="11" t="n">
        <x:v>23.89</x:v>
      </x:c>
      <x:c r="J258" s="11" t="n">
        <x:v>11228.3</x:v>
      </x:c>
      <x:c r="K258" s="11" t="n">
        <x:v>4</x:v>
      </x:c>
      <x:c r="L258" s="11" t="str">
        <x:v>Extração parcial do início da descrição; conferir unidade/descrição completa no PDF.</x:v>
      </x:c>
      <x:c r="M258" s="11" t="str">
        <x:v>DOC-0007</x:v>
      </x:c>
      <x:c r="N258" s="11" t="n">
        <x:f>H258*I258</x:f>
        <x:v>11228.300000000001</x:v>
      </x:c>
      <x:c r="O258" s="11" t="n">
        <x:f>ROUND(N258-J258,2)</x:f>
        <x:v>0</x:v>
      </x:c>
    </x:row>
    <x:row r="259" ht="84" customHeight="1">
      <x:c r="A259" s="8" t="str">
        <x:v>ED-0007</x:v>
      </x:c>
      <x:c r="B259" s="8" t="str">
        <x:v>Diamantino</x:v>
      </x:c>
      <x:c r="C259" s="8" t="str">
        <x:v>Alto Paraguai - urbano</x:v>
      </x:c>
      <x:c r="D259" s="8" t="n">
        <x:v>8</x:v>
      </x:c>
      <x:c r="E259" s="8" t="str">
        <x:v>ALMEIRÃO</x:v>
      </x:c>
      <x:c r="F259" s="8" t="str">
        <x:v>ALMEIRÃO, com folhas inteiras, livre</x:v>
      </x:c>
      <x:c r="G259" s="8" t="str">
        <x:v>Quilograma</x:v>
      </x:c>
      <x:c r="H259" s="11" t="n">
        <x:v>128</x:v>
      </x:c>
      <x:c r="I259" s="11" t="n">
        <x:v>24.68</x:v>
      </x:c>
      <x:c r="J259" s="11" t="n">
        <x:v>3159.04</x:v>
      </x:c>
      <x:c r="K259" s="11" t="n">
        <x:v>5</x:v>
      </x:c>
      <x:c r="L259" s="11" t="str">
        <x:v>Extração parcial do início da descrição; conferir unidade/descrição completa no PDF.</x:v>
      </x:c>
      <x:c r="M259" s="11" t="str">
        <x:v>DOC-0007</x:v>
      </x:c>
      <x:c r="N259" s="11" t="n">
        <x:f>H259*I259</x:f>
        <x:v>3159.04</x:v>
      </x:c>
      <x:c r="O259" s="11" t="n">
        <x:f>ROUND(N259-J259,2)</x:f>
        <x:v>0</x:v>
      </x:c>
    </x:row>
    <x:row r="260" ht="84" customHeight="1">
      <x:c r="A260" s="8" t="str">
        <x:v>ED-0007</x:v>
      </x:c>
      <x:c r="B260" s="8" t="str">
        <x:v>Diamantino</x:v>
      </x:c>
      <x:c r="C260" s="8" t="str">
        <x:v>Alto Paraguai - urbano</x:v>
      </x:c>
      <x:c r="D260" s="8" t="n">
        <x:v>9</x:v>
      </x:c>
      <x:c r="E260" s="8" t="str">
        <x:v>BANANA DA TERRA</x:v>
      </x:c>
      <x:c r="F260" s="8" t="str">
        <x:v>BANANA DA TERRA, inteira, livre</x:v>
      </x:c>
      <x:c r="G260" s="8" t="str">
        <x:v>Quilograma</x:v>
      </x:c>
      <x:c r="H260" s="11" t="n">
        <x:v>165</x:v>
      </x:c>
      <x:c r="I260" s="11" t="n">
        <x:v>12.44</x:v>
      </x:c>
      <x:c r="J260" s="11" t="n">
        <x:v>2052.6</x:v>
      </x:c>
      <x:c r="K260" s="11" t="n">
        <x:v>5</x:v>
      </x:c>
      <x:c r="L260" s="11" t="str">
        <x:v>Extração parcial do início da descrição; conferir unidade/descrição completa no PDF.</x:v>
      </x:c>
      <x:c r="M260" s="11" t="str">
        <x:v>DOC-0007</x:v>
      </x:c>
      <x:c r="N260" s="11" t="n">
        <x:f>H260*I260</x:f>
        <x:v>2052.6</x:v>
      </x:c>
      <x:c r="O260" s="11" t="n">
        <x:f>ROUND(N260-J260,2)</x:f>
        <x:v>0</x:v>
      </x:c>
    </x:row>
    <x:row r="261" ht="84" customHeight="1">
      <x:c r="A261" s="8" t="str">
        <x:v>ED-0007</x:v>
      </x:c>
      <x:c r="B261" s="8" t="str">
        <x:v>Diamantino</x:v>
      </x:c>
      <x:c r="C261" s="8" t="str">
        <x:v>Alto Paraguai - urbano</x:v>
      </x:c>
      <x:c r="D261" s="8" t="n">
        <x:v>10</x:v>
      </x:c>
      <x:c r="E261" s="8" t="str">
        <x:v>BANANA NANICA</x:v>
      </x:c>
      <x:c r="F261" s="8" t="str">
        <x:v>BANANA NANICA, inteira, livre de</x:v>
      </x:c>
      <x:c r="G261" s="8" t="str">
        <x:v>Quilograma</x:v>
      </x:c>
      <x:c r="H261" s="11" t="n">
        <x:v>602</x:v>
      </x:c>
      <x:c r="I261" s="11" t="n">
        <x:v>7.94</x:v>
      </x:c>
      <x:c r="J261" s="11" t="n">
        <x:v>4779.88</x:v>
      </x:c>
      <x:c r="K261" s="11" t="n">
        <x:v>5</x:v>
      </x:c>
      <x:c r="L261" s="11" t="str">
        <x:v>Extração parcial do início da descrição; conferir unidade/descrição completa no PDF.</x:v>
      </x:c>
      <x:c r="M261" s="11" t="str">
        <x:v>DOC-0007</x:v>
      </x:c>
      <x:c r="N261" s="11" t="n">
        <x:f>H261*I261</x:f>
        <x:v>4779.88</x:v>
      </x:c>
      <x:c r="O261" s="11" t="n">
        <x:f>ROUND(N261-J261,2)</x:f>
        <x:v>0</x:v>
      </x:c>
    </x:row>
    <x:row r="262" ht="84" customHeight="1">
      <x:c r="A262" s="8" t="str">
        <x:v>ED-0007</x:v>
      </x:c>
      <x:c r="B262" s="8" t="str">
        <x:v>Diamantino</x:v>
      </x:c>
      <x:c r="C262" s="8" t="str">
        <x:v>Alto Paraguai - urbano</x:v>
      </x:c>
      <x:c r="D262" s="8" t="n">
        <x:v>11</x:v>
      </x:c>
      <x:c r="E262" s="8" t="str">
        <x:v>BATATA DOCE</x:v>
      </x:c>
      <x:c r="F262" s="8" t="str">
        <x:v>BATATA DOCE, inteira, livre de</x:v>
      </x:c>
      <x:c r="G262" s="8" t="str">
        <x:v>Quilograma</x:v>
      </x:c>
      <x:c r="H262" s="11" t="n">
        <x:v>91</x:v>
      </x:c>
      <x:c r="I262" s="11" t="n">
        <x:v>6.31</x:v>
      </x:c>
      <x:c r="J262" s="11" t="n">
        <x:v>574.21</x:v>
      </x:c>
      <x:c r="K262" s="11" t="n">
        <x:v>6</x:v>
      </x:c>
      <x:c r="L262" s="11" t="str">
        <x:v>Extração parcial do início da descrição; conferir unidade/descrição completa no PDF.</x:v>
      </x:c>
      <x:c r="M262" s="11" t="str">
        <x:v>DOC-0007</x:v>
      </x:c>
      <x:c r="N262" s="11" t="n">
        <x:f>H262*I262</x:f>
        <x:v>574.2099999999999</x:v>
      </x:c>
      <x:c r="O262" s="11" t="n">
        <x:f>ROUND(N262-J262,2)</x:f>
        <x:v>0</x:v>
      </x:c>
    </x:row>
    <x:row r="263" ht="84" customHeight="1">
      <x:c r="A263" s="8" t="str">
        <x:v>ED-0007</x:v>
      </x:c>
      <x:c r="B263" s="8" t="str">
        <x:v>Diamantino</x:v>
      </x:c>
      <x:c r="C263" s="8" t="str">
        <x:v>Alto Paraguai - urbano</x:v>
      </x:c>
      <x:c r="D263" s="8" t="n">
        <x:v>13</x:v>
      </x:c>
      <x:c r="E263" s="8" t="str">
        <x:v>BEBIDA LÁCTEA FERMENTADA</x:v>
      </x:c>
      <x:c r="F263" s="8" t="str">
        <x:v>BEBIDA LÁCTEA FERMENTADA</x:v>
      </x:c>
      <x:c r="G263" s="8" t="str">
        <x:v>Unidade de</x:v>
      </x:c>
      <x:c r="H263" s="11" t="n">
        <x:v>135</x:v>
      </x:c>
      <x:c r="I263" s="11" t="n">
        <x:v>10.59</x:v>
      </x:c>
      <x:c r="J263" s="11" t="n">
        <x:v>1429.65</x:v>
      </x:c>
      <x:c r="K263" s="11" t="n">
        <x:v>6</x:v>
      </x:c>
      <x:c r="L263" s="11" t="str">
        <x:v>Extração parcial do início da descrição; conferir unidade/descrição completa no PDF.</x:v>
      </x:c>
      <x:c r="M263" s="11" t="str">
        <x:v>DOC-0007</x:v>
      </x:c>
      <x:c r="N263" s="11" t="n">
        <x:f>H263*I263</x:f>
        <x:v>1429.65</x:v>
      </x:c>
      <x:c r="O263" s="11" t="n">
        <x:f>ROUND(N263-J263,2)</x:f>
        <x:v>0</x:v>
      </x:c>
    </x:row>
    <x:row r="264" ht="84" customHeight="1">
      <x:c r="A264" s="8" t="str">
        <x:v>ED-0007</x:v>
      </x:c>
      <x:c r="B264" s="8" t="str">
        <x:v>Diamantino</x:v>
      </x:c>
      <x:c r="C264" s="8" t="str">
        <x:v>Alto Paraguai - urbano</x:v>
      </x:c>
      <x:c r="D264" s="8" t="n">
        <x:v>14</x:v>
      </x:c>
      <x:c r="E264" s="8" t="str">
        <x:v>BETERRABA</x:v>
      </x:c>
      <x:c r="F264" s="8" t="str">
        <x:v>BETERRABA, inteira, livre de</x:v>
      </x:c>
      <x:c r="G264" s="8" t="str">
        <x:v>Quilograma</x:v>
      </x:c>
      <x:c r="H264" s="11" t="n">
        <x:v>63</x:v>
      </x:c>
      <x:c r="I264" s="11" t="n">
        <x:v>7.92</x:v>
      </x:c>
      <x:c r="J264" s="11" t="n">
        <x:v>498.96</x:v>
      </x:c>
      <x:c r="K264" s="11" t="n">
        <x:v>7</x:v>
      </x:c>
      <x:c r="L264" s="11" t="str">
        <x:v>Extração parcial do início da descrição; conferir unidade/descrição completa no PDF.</x:v>
      </x:c>
      <x:c r="M264" s="11" t="str">
        <x:v>DOC-0007</x:v>
      </x:c>
      <x:c r="N264" s="11" t="n">
        <x:f>H264*I264</x:f>
        <x:v>498.96</x:v>
      </x:c>
      <x:c r="O264" s="11" t="n">
        <x:f>ROUND(N264-J264,2)</x:f>
        <x:v>0</x:v>
      </x:c>
    </x:row>
    <x:row r="265" ht="84" customHeight="1">
      <x:c r="A265" s="8" t="str">
        <x:v>ED-0007</x:v>
      </x:c>
      <x:c r="B265" s="8" t="str">
        <x:v>Diamantino</x:v>
      </x:c>
      <x:c r="C265" s="8" t="str">
        <x:v>Alto Paraguai - urbano</x:v>
      </x:c>
      <x:c r="D265" s="8" t="n">
        <x:v>15</x:v>
      </x:c>
      <x:c r="E265" s="8" t="str">
        <x:v>BOLO DE CHOCOLATE</x:v>
      </x:c>
      <x:c r="F265" s="8" t="str">
        <x:v>BOLO DE CHOCOLATE, caseiro,</x:v>
      </x:c>
      <x:c r="G265" s="8" t="str">
        <x:v>Quilograma</x:v>
      </x:c>
      <x:c r="H265" s="11" t="n">
        <x:v>188</x:v>
      </x:c>
      <x:c r="I265" s="11" t="n">
        <x:v>48.05</x:v>
      </x:c>
      <x:c r="J265" s="11" t="n">
        <x:v>9033.4</x:v>
      </x:c>
      <x:c r="K265" s="11" t="n">
        <x:v>7</x:v>
      </x:c>
      <x:c r="L265" s="11" t="str">
        <x:v>Extração parcial do início da descrição; conferir unidade/descrição completa no PDF.</x:v>
      </x:c>
      <x:c r="M265" s="11" t="str">
        <x:v>DOC-0007</x:v>
      </x:c>
      <x:c r="N265" s="11" t="n">
        <x:f>H265*I265</x:f>
        <x:v>9033.4</x:v>
      </x:c>
      <x:c r="O265" s="11" t="n">
        <x:f>ROUND(N265-J265,2)</x:f>
        <x:v>0</x:v>
      </x:c>
    </x:row>
    <x:row r="266" ht="84" customHeight="1">
      <x:c r="A266" s="8" t="str">
        <x:v>ED-0007</x:v>
      </x:c>
      <x:c r="B266" s="8" t="str">
        <x:v>Diamantino</x:v>
      </x:c>
      <x:c r="C266" s="8" t="str">
        <x:v>Alto Paraguai - urbano</x:v>
      </x:c>
      <x:c r="D266" s="8" t="n">
        <x:v>16</x:v>
      </x:c>
      <x:c r="E266" s="8" t="str">
        <x:v>BOLO        DE      COCO</x:v>
      </x:c>
      <x:c r="F266" s="8" t="str">
        <x:v>BOLO        DE      COCO,       caseiro,</x:v>
      </x:c>
      <x:c r="G266" s="8" t="str">
        <x:v>Quilograma</x:v>
      </x:c>
      <x:c r="H266" s="11" t="n">
        <x:v>188</x:v>
      </x:c>
      <x:c r="I266" s="11" t="n">
        <x:v>39.5</x:v>
      </x:c>
      <x:c r="J266" s="11" t="n">
        <x:v>7426</x:v>
      </x:c>
      <x:c r="K266" s="11" t="n">
        <x:v>7</x:v>
      </x:c>
      <x:c r="L266" s="11" t="str">
        <x:v>Extração parcial do início da descrição; conferir unidade/descrição completa no PDF.</x:v>
      </x:c>
      <x:c r="M266" s="11" t="str">
        <x:v>DOC-0007</x:v>
      </x:c>
      <x:c r="N266" s="11" t="n">
        <x:f>H266*I266</x:f>
        <x:v>7426</x:v>
      </x:c>
      <x:c r="O266" s="11" t="n">
        <x:f>ROUND(N266-J266,2)</x:f>
        <x:v>0</x:v>
      </x:c>
    </x:row>
    <x:row r="267" ht="84" customHeight="1">
      <x:c r="A267" s="8" t="str">
        <x:v>ED-0007</x:v>
      </x:c>
      <x:c r="B267" s="8" t="str">
        <x:v>Diamantino</x:v>
      </x:c>
      <x:c r="C267" s="8" t="str">
        <x:v>Alto Paraguai - urbano</x:v>
      </x:c>
      <x:c r="D267" s="8" t="n">
        <x:v>17</x:v>
      </x:c>
      <x:c r="E267" s="8" t="str">
        <x:v>BOLO          SIMPLES</x:v>
      </x:c>
      <x:c r="F267" s="8" t="str">
        <x:v>BOLO          SIMPLES,          caseiro,</x:v>
      </x:c>
      <x:c r="G267" s="8" t="str">
        <x:v>Quilograma</x:v>
      </x:c>
      <x:c r="H267" s="11" t="n">
        <x:v>188</x:v>
      </x:c>
      <x:c r="I267" s="11" t="n">
        <x:v>39.5</x:v>
      </x:c>
      <x:c r="J267" s="11" t="n">
        <x:v>7426</x:v>
      </x:c>
      <x:c r="K267" s="11" t="n">
        <x:v>8</x:v>
      </x:c>
      <x:c r="L267" s="11" t="str">
        <x:v>Extração parcial do início da descrição; conferir unidade/descrição completa no PDF.</x:v>
      </x:c>
      <x:c r="M267" s="11" t="str">
        <x:v>DOC-0007</x:v>
      </x:c>
      <x:c r="N267" s="11" t="n">
        <x:f>H267*I267</x:f>
        <x:v>7426</x:v>
      </x:c>
      <x:c r="O267" s="11" t="n">
        <x:f>ROUND(N267-J267,2)</x:f>
        <x:v>0</x:v>
      </x:c>
    </x:row>
    <x:row r="268" ht="84" customHeight="1">
      <x:c r="A268" s="8" t="str">
        <x:v>ED-0007</x:v>
      </x:c>
      <x:c r="B268" s="8" t="str">
        <x:v>Diamantino</x:v>
      </x:c>
      <x:c r="C268" s="8" t="str">
        <x:v>Alto Paraguai - urbano</x:v>
      </x:c>
      <x:c r="D268" s="8" t="n">
        <x:v>18</x:v>
      </x:c>
      <x:c r="E268" s="8" t="str">
        <x:v>CAFÉ TORRADO E MOÍDO</x:v>
      </x:c>
      <x:c r="F268" s="8" t="str">
        <x:v>CAFÉ TORRADO E MOÍDO, 1ª</x:v>
      </x:c>
      <x:c r="G268" s="8" t="str">
        <x:v>Unidade de</x:v>
      </x:c>
      <x:c r="H268" s="11" t="n">
        <x:v>76</x:v>
      </x:c>
      <x:c r="I268" s="11" t="n">
        <x:v>24.75</x:v>
      </x:c>
      <x:c r="J268" s="11" t="n">
        <x:v>1881</x:v>
      </x:c>
      <x:c r="K268" s="11" t="n">
        <x:v>8</x:v>
      </x:c>
      <x:c r="L268" s="11" t="str">
        <x:v>Extração parcial do início da descrição; conferir unidade/descrição completa no PDF.</x:v>
      </x:c>
      <x:c r="M268" s="11" t="str">
        <x:v>DOC-0007</x:v>
      </x:c>
      <x:c r="N268" s="11" t="n">
        <x:f>H268*I268</x:f>
        <x:v>1881</x:v>
      </x:c>
      <x:c r="O268" s="11" t="n">
        <x:f>ROUND(N268-J268,2)</x:f>
        <x:v>0</x:v>
      </x:c>
    </x:row>
    <x:row r="269" ht="84" customHeight="1">
      <x:c r="A269" s="8" t="str">
        <x:v>ED-0007</x:v>
      </x:c>
      <x:c r="B269" s="8" t="str">
        <x:v>Diamantino</x:v>
      </x:c>
      <x:c r="C269" s="8" t="str">
        <x:v>Alto Paraguai - urbano</x:v>
      </x:c>
      <x:c r="D269" s="8" t="n">
        <x:v>19</x:v>
      </x:c>
      <x:c r="E269" s="8" t="str">
        <x:v>CEBOLINHA</x:v>
      </x:c>
      <x:c r="F269" s="8" t="str">
        <x:v>CEBOLINHA, verde, com folhas</x:v>
      </x:c>
      <x:c r="G269" s="8" t="str">
        <x:v>Quilograma</x:v>
      </x:c>
      <x:c r="H269" s="11" t="n">
        <x:v>87</x:v>
      </x:c>
      <x:c r="I269" s="11" t="n">
        <x:v>28.33</x:v>
      </x:c>
      <x:c r="J269" s="11" t="n">
        <x:v>2464.71</x:v>
      </x:c>
      <x:c r="K269" s="11" t="n">
        <x:v>8</x:v>
      </x:c>
      <x:c r="L269" s="11" t="str">
        <x:v>Extração parcial do início da descrição; conferir unidade/descrição completa no PDF.</x:v>
      </x:c>
      <x:c r="M269" s="11" t="str">
        <x:v>DOC-0007</x:v>
      </x:c>
      <x:c r="N269" s="11" t="n">
        <x:f>H269*I269</x:f>
        <x:v>2464.71</x:v>
      </x:c>
      <x:c r="O269" s="11" t="n">
        <x:f>ROUND(N269-J269,2)</x:f>
        <x:v>0</x:v>
      </x:c>
    </x:row>
    <x:row r="270" ht="84" customHeight="1">
      <x:c r="A270" s="8" t="str">
        <x:v>ED-0007</x:v>
      </x:c>
      <x:c r="B270" s="8" t="str">
        <x:v>Diamantino</x:v>
      </x:c>
      <x:c r="C270" s="8" t="str">
        <x:v>Alto Paraguai - urbano</x:v>
      </x:c>
      <x:c r="D270" s="8" t="n">
        <x:v>20</x:v>
      </x:c>
      <x:c r="E270" s="8" t="str">
        <x:v>CENOURA</x:v>
      </x:c>
      <x:c r="F270" s="8" t="str">
        <x:v>CENOURA, inteira, livre de sujidades,</x:v>
      </x:c>
      <x:c r="G270" s="8" t="str">
        <x:v>Quilograma</x:v>
      </x:c>
      <x:c r="H270" s="11" t="n">
        <x:v>336</x:v>
      </x:c>
      <x:c r="I270" s="11" t="n">
        <x:v>8.87</x:v>
      </x:c>
      <x:c r="J270" s="11" t="n">
        <x:v>2980.32</x:v>
      </x:c>
      <x:c r="K270" s="11" t="n">
        <x:v>9</x:v>
      </x:c>
      <x:c r="L270" s="11" t="str">
        <x:v>Extração parcial do início da descrição; conferir unidade/descrição completa no PDF.</x:v>
      </x:c>
      <x:c r="M270" s="11" t="str">
        <x:v>DOC-0007</x:v>
      </x:c>
      <x:c r="N270" s="11" t="n">
        <x:f>H270*I270</x:f>
        <x:v>2980.3199999999997</x:v>
      </x:c>
      <x:c r="O270" s="11" t="n">
        <x:f>ROUND(N270-J270,2)</x:f>
        <x:v>0</x:v>
      </x:c>
    </x:row>
    <x:row r="271" ht="84" customHeight="1">
      <x:c r="A271" s="8" t="str">
        <x:v>ED-0007</x:v>
      </x:c>
      <x:c r="B271" s="8" t="str">
        <x:v>Diamantino</x:v>
      </x:c>
      <x:c r="C271" s="8" t="str">
        <x:v>Alto Paraguai - urbano</x:v>
      </x:c>
      <x:c r="D271" s="8" t="n">
        <x:v>21</x:v>
      </x:c>
      <x:c r="E271" s="8" t="str">
        <x:v>COENTRO</x:v>
      </x:c>
      <x:c r="F271" s="8" t="str">
        <x:v>COENTRO, com talos e folhas</x:v>
      </x:c>
      <x:c r="G271" s="8" t="str">
        <x:v>Quilograma</x:v>
      </x:c>
      <x:c r="H271" s="11" t="n">
        <x:v>7</x:v>
      </x:c>
      <x:c r="I271" s="11" t="n">
        <x:v>32.37</x:v>
      </x:c>
      <x:c r="J271" s="11" t="n">
        <x:v>226.59</x:v>
      </x:c>
      <x:c r="K271" s="11" t="n">
        <x:v>9</x:v>
      </x:c>
      <x:c r="L271" s="11" t="str">
        <x:v>Extração parcial do início da descrição; conferir unidade/descrição completa no PDF.</x:v>
      </x:c>
      <x:c r="M271" s="11" t="str">
        <x:v>DOC-0007</x:v>
      </x:c>
      <x:c r="N271" s="11" t="n">
        <x:f>H271*I271</x:f>
        <x:v>226.58999999999997</x:v>
      </x:c>
      <x:c r="O271" s="11" t="n">
        <x:f>ROUND(N271-J271,2)</x:f>
        <x:v>0</x:v>
      </x:c>
    </x:row>
    <x:row r="272" ht="84" customHeight="1">
      <x:c r="A272" s="8" t="str">
        <x:v>ED-0007</x:v>
      </x:c>
      <x:c r="B272" s="8" t="str">
        <x:v>Diamantino</x:v>
      </x:c>
      <x:c r="C272" s="8" t="str">
        <x:v>Alto Paraguai - urbano</x:v>
      </x:c>
      <x:c r="D272" s="8" t="n">
        <x:v>22</x:v>
      </x:c>
      <x:c r="E272" s="8" t="str">
        <x:v>COLORAU</x:v>
      </x:c>
      <x:c r="F272" s="8" t="str">
        <x:v>COLORAU, corante, natural de</x:v>
      </x:c>
      <x:c r="G272" s="8" t="str">
        <x:v>Unidade de</x:v>
      </x:c>
      <x:c r="H272" s="11" t="n">
        <x:v>892</x:v>
      </x:c>
      <x:c r="I272" s="11" t="n">
        <x:v>6.06</x:v>
      </x:c>
      <x:c r="J272" s="11" t="n">
        <x:v>5405.52</x:v>
      </x:c>
      <x:c r="K272" s="11" t="n">
        <x:v>9</x:v>
      </x:c>
      <x:c r="L272" s="11" t="str">
        <x:v>Extração parcial do início da descrição; conferir unidade/descrição completa no PDF.</x:v>
      </x:c>
      <x:c r="M272" s="11" t="str">
        <x:v>DOC-0007</x:v>
      </x:c>
      <x:c r="N272" s="11" t="n">
        <x:f>H272*I272</x:f>
        <x:v>5405.5199999999995</x:v>
      </x:c>
      <x:c r="O272" s="11" t="n">
        <x:f>ROUND(N272-J272,2)</x:f>
        <x:v>0</x:v>
      </x:c>
    </x:row>
    <x:row r="273" ht="84" customHeight="1">
      <x:c r="A273" s="8" t="str">
        <x:v>ED-0007</x:v>
      </x:c>
      <x:c r="B273" s="8" t="str">
        <x:v>Diamantino</x:v>
      </x:c>
      <x:c r="C273" s="8" t="str">
        <x:v>Alto Paraguai - urbano</x:v>
      </x:c>
      <x:c r="D273" s="8" t="n">
        <x:v>23</x:v>
      </x:c>
      <x:c r="E273" s="8" t="str">
        <x:v>COUVE</x:v>
      </x:c>
      <x:c r="F273" s="8" t="str">
        <x:v>COUVE, manteiga com folhas inteiras,</x:v>
      </x:c>
      <x:c r="G273" s="8" t="str">
        <x:v>Quilograma</x:v>
      </x:c>
      <x:c r="H273" s="11" t="n">
        <x:v>369</x:v>
      </x:c>
      <x:c r="I273" s="11" t="n">
        <x:v>29.65</x:v>
      </x:c>
      <x:c r="J273" s="11" t="n">
        <x:v>10940.85</x:v>
      </x:c>
      <x:c r="K273" s="11" t="n">
        <x:v>9</x:v>
      </x:c>
      <x:c r="L273" s="11" t="str">
        <x:v>Extração parcial do início da descrição; conferir unidade/descrição completa no PDF.</x:v>
      </x:c>
      <x:c r="M273" s="11" t="str">
        <x:v>DOC-0007</x:v>
      </x:c>
      <x:c r="N273" s="11" t="n">
        <x:f>H273*I273</x:f>
        <x:v>10940.85</x:v>
      </x:c>
      <x:c r="O273" s="11" t="n">
        <x:f>ROUND(N273-J273,2)</x:f>
        <x:v>0</x:v>
      </x:c>
    </x:row>
    <x:row r="274" ht="84" customHeight="1">
      <x:c r="A274" s="8" t="str">
        <x:v>ED-0007</x:v>
      </x:c>
      <x:c r="B274" s="8" t="str">
        <x:v>Diamantino</x:v>
      </x:c>
      <x:c r="C274" s="8" t="str">
        <x:v>Alto Paraguai - urbano</x:v>
      </x:c>
      <x:c r="D274" s="8" t="n">
        <x:v>24</x:v>
      </x:c>
      <x:c r="E274" s="8" t="str">
        <x:v>FARINHA DE MANDIOCA</x:v>
      </x:c>
      <x:c r="F274" s="8" t="str">
        <x:v>FARINHA DE MANDIOCA, do tipo</x:v>
      </x:c>
      <x:c r="G274" s="8" t="str">
        <x:v>Unidade de</x:v>
      </x:c>
      <x:c r="H274" s="11" t="n">
        <x:v>134</x:v>
      </x:c>
      <x:c r="I274" s="11" t="n">
        <x:v>14.66</x:v>
      </x:c>
      <x:c r="J274" s="11" t="n">
        <x:v>1964.44</x:v>
      </x:c>
      <x:c r="K274" s="11" t="n">
        <x:v>10</x:v>
      </x:c>
      <x:c r="L274" s="11" t="str">
        <x:v>Extração parcial do início da descrição; conferir unidade/descrição completa no PDF.</x:v>
      </x:c>
      <x:c r="M274" s="11" t="str">
        <x:v>DOC-0007</x:v>
      </x:c>
      <x:c r="N274" s="11" t="n">
        <x:f>H274*I274</x:f>
        <x:v>1964.44</x:v>
      </x:c>
      <x:c r="O274" s="11" t="n">
        <x:f>ROUND(N274-J274,2)</x:f>
        <x:v>0</x:v>
      </x:c>
    </x:row>
    <x:row r="275" ht="84" customHeight="1">
      <x:c r="A275" s="8" t="str">
        <x:v>ED-0007</x:v>
      </x:c>
      <x:c r="B275" s="8" t="str">
        <x:v>Diamantino</x:v>
      </x:c>
      <x:c r="C275" s="8" t="str">
        <x:v>Alto Paraguai - urbano</x:v>
      </x:c>
      <x:c r="D275" s="8" t="n">
        <x:v>25</x:v>
      </x:c>
      <x:c r="E275" s="8" t="str">
        <x:v>INHAME</x:v>
      </x:c>
      <x:c r="F275" s="8" t="str">
        <x:v>INHAME, in natura, tamanho e</x:v>
      </x:c>
      <x:c r="G275" s="8" t="str">
        <x:v>Quilograma</x:v>
      </x:c>
      <x:c r="H275" s="11" t="n">
        <x:v>68</x:v>
      </x:c>
      <x:c r="I275" s="11" t="n">
        <x:v>19.34</x:v>
      </x:c>
      <x:c r="J275" s="11" t="n">
        <x:v>1315.12</x:v>
      </x:c>
      <x:c r="K275" s="11" t="n">
        <x:v>10</x:v>
      </x:c>
      <x:c r="L275" s="11" t="str">
        <x:v>Extração parcial do início da descrição; conferir unidade/descrição completa no PDF.</x:v>
      </x:c>
      <x:c r="M275" s="11" t="str">
        <x:v>DOC-0007</x:v>
      </x:c>
      <x:c r="N275" s="11" t="n">
        <x:f>H275*I275</x:f>
        <x:v>1315.12</x:v>
      </x:c>
      <x:c r="O275" s="11" t="n">
        <x:f>ROUND(N275-J275,2)</x:f>
        <x:v>0</x:v>
      </x:c>
    </x:row>
    <x:row r="276" ht="84" customHeight="1">
      <x:c r="A276" s="8" t="str">
        <x:v>ED-0007</x:v>
      </x:c>
      <x:c r="B276" s="8" t="str">
        <x:v>Diamantino</x:v>
      </x:c>
      <x:c r="C276" s="8" t="str">
        <x:v>Alto Paraguai - urbano</x:v>
      </x:c>
      <x:c r="D276" s="8" t="n">
        <x:v>26</x:v>
      </x:c>
      <x:c r="E276" s="8" t="str">
        <x:v>LARANJA PÊRA</x:v>
      </x:c>
      <x:c r="F276" s="8" t="str">
        <x:v>LARANJA PÊRA, inteira, livre de</x:v>
      </x:c>
      <x:c r="G276" s="8" t="str">
        <x:v>Quilograma</x:v>
      </x:c>
      <x:c r="H276" s="11" t="n">
        <x:v>429</x:v>
      </x:c>
      <x:c r="I276" s="11" t="n">
        <x:v>8.61</x:v>
      </x:c>
      <x:c r="J276" s="11" t="n">
        <x:v>3693.69</x:v>
      </x:c>
      <x:c r="K276" s="11" t="n">
        <x:v>11</x:v>
      </x:c>
      <x:c r="L276" s="11" t="str">
        <x:v>Extração parcial do início da descrição; conferir unidade/descrição completa no PDF.</x:v>
      </x:c>
      <x:c r="M276" s="11" t="str">
        <x:v>DOC-0007</x:v>
      </x:c>
      <x:c r="N276" s="11" t="n">
        <x:f>H276*I276</x:f>
        <x:v>3693.6899999999996</x:v>
      </x:c>
      <x:c r="O276" s="11" t="n">
        <x:f>ROUND(N276-J276,2)</x:f>
        <x:v>0</x:v>
      </x:c>
    </x:row>
    <x:row r="277" ht="84" customHeight="1">
      <x:c r="A277" s="8" t="str">
        <x:v>ED-0007</x:v>
      </x:c>
      <x:c r="B277" s="8" t="str">
        <x:v>Diamantino</x:v>
      </x:c>
      <x:c r="C277" s="8" t="str">
        <x:v>Alto Paraguai - urbano</x:v>
      </x:c>
      <x:c r="D277" s="8" t="n">
        <x:v>27</x:v>
      </x:c>
      <x:c r="E277" s="8" t="str">
        <x:v>LEITE               PASTEURIZADO</x:v>
      </x:c>
      <x:c r="F277" s="8" t="str">
        <x:v>LEITE               PASTEURIZADO</x:v>
      </x:c>
      <x:c r="G277" s="8" t="str">
        <x:v>Unidade de</x:v>
      </x:c>
      <x:c r="H277" s="11" t="n">
        <x:v>1479</x:v>
      </x:c>
      <x:c r="I277" s="11" t="n">
        <x:v>9.28</x:v>
      </x:c>
      <x:c r="J277" s="11" t="n">
        <x:v>13725.12</x:v>
      </x:c>
      <x:c r="K277" s="11" t="n">
        <x:v>11</x:v>
      </x:c>
      <x:c r="L277" s="11" t="str">
        <x:v>Extração parcial do início da descrição; conferir unidade/descrição completa no PDF.</x:v>
      </x:c>
      <x:c r="M277" s="11" t="str">
        <x:v>DOC-0007</x:v>
      </x:c>
      <x:c r="N277" s="11" t="n">
        <x:f>H277*I277</x:f>
        <x:v>13725.119999999999</x:v>
      </x:c>
      <x:c r="O277" s="11" t="n">
        <x:f>ROUND(N277-J277,2)</x:f>
        <x:v>0</x:v>
      </x:c>
    </x:row>
    <x:row r="278" ht="84" customHeight="1">
      <x:c r="A278" s="8" t="str">
        <x:v>ED-0007</x:v>
      </x:c>
      <x:c r="B278" s="8" t="str">
        <x:v>Diamantino</x:v>
      </x:c>
      <x:c r="C278" s="8" t="str">
        <x:v>Alto Paraguai - urbano</x:v>
      </x:c>
      <x:c r="D278" s="8" t="n">
        <x:v>28</x:v>
      </x:c>
      <x:c r="E278" s="8" t="str">
        <x:v>LIMÃO TAHITI</x:v>
      </x:c>
      <x:c r="F278" s="8" t="str">
        <x:v>LIMÃO TAHITI, inteiro, livre de</x:v>
      </x:c>
      <x:c r="G278" s="8" t="str">
        <x:v>Quilograma</x:v>
      </x:c>
      <x:c r="H278" s="11" t="n">
        <x:v>95</x:v>
      </x:c>
      <x:c r="I278" s="11" t="n">
        <x:v>12.2</x:v>
      </x:c>
      <x:c r="J278" s="11" t="n">
        <x:v>1159</x:v>
      </x:c>
      <x:c r="K278" s="11" t="n">
        <x:v>11</x:v>
      </x:c>
      <x:c r="L278" s="11" t="str">
        <x:v>Extração parcial do início da descrição; conferir unidade/descrição completa no PDF.</x:v>
      </x:c>
      <x:c r="M278" s="11" t="str">
        <x:v>DOC-0007</x:v>
      </x:c>
      <x:c r="N278" s="11" t="n">
        <x:f>H278*I278</x:f>
        <x:v>1159</x:v>
      </x:c>
      <x:c r="O278" s="11" t="n">
        <x:f>ROUND(N278-J278,2)</x:f>
        <x:v>0</x:v>
      </x:c>
    </x:row>
    <x:row r="279" ht="84" customHeight="1">
      <x:c r="A279" s="8" t="str">
        <x:v>ED-0007</x:v>
      </x:c>
      <x:c r="B279" s="8" t="str">
        <x:v>Diamantino</x:v>
      </x:c>
      <x:c r="C279" s="8" t="str">
        <x:v>Alto Paraguai - urbano</x:v>
      </x:c>
      <x:c r="D279" s="8" t="n">
        <x:v>29</x:v>
      </x:c>
      <x:c r="E279" s="8" t="str">
        <x:v>MAMÃO FORMOSA</x:v>
      </x:c>
      <x:c r="F279" s="8" t="str">
        <x:v>MAMÃO FORMOSA, livre de</x:v>
      </x:c>
      <x:c r="G279" s="8" t="str">
        <x:v>Quilograma</x:v>
      </x:c>
      <x:c r="H279" s="11" t="n">
        <x:v>278</x:v>
      </x:c>
      <x:c r="I279" s="11" t="n">
        <x:v>10.29</x:v>
      </x:c>
      <x:c r="J279" s="11" t="n">
        <x:v>2860.62</x:v>
      </x:c>
      <x:c r="K279" s="11" t="n">
        <x:v>12</x:v>
      </x:c>
      <x:c r="L279" s="11" t="str">
        <x:v>Extração parcial do início da descrição; conferir unidade/descrição completa no PDF.</x:v>
      </x:c>
      <x:c r="M279" s="11" t="str">
        <x:v>DOC-0007</x:v>
      </x:c>
      <x:c r="N279" s="11" t="n">
        <x:f>H279*I279</x:f>
        <x:v>2860.62</x:v>
      </x:c>
      <x:c r="O279" s="11" t="n">
        <x:f>ROUND(N279-J279,2)</x:f>
        <x:v>0</x:v>
      </x:c>
    </x:row>
    <x:row r="280" ht="84" customHeight="1">
      <x:c r="A280" s="8" t="str">
        <x:v>ED-0007</x:v>
      </x:c>
      <x:c r="B280" s="8" t="str">
        <x:v>Diamantino</x:v>
      </x:c>
      <x:c r="C280" s="8" t="str">
        <x:v>Alto Paraguai - urbano</x:v>
      </x:c>
      <x:c r="D280" s="8" t="n">
        <x:v>30</x:v>
      </x:c>
      <x:c r="E280" s="8" t="str">
        <x:v>MANDIOCA                DESCASCADA</x:v>
      </x:c>
      <x:c r="F280" s="8" t="str">
        <x:v>MANDIOCA                DESCASCADA</x:v>
      </x:c>
      <x:c r="G280" s="8" t="str">
        <x:v>Unidade de</x:v>
      </x:c>
      <x:c r="H280" s="11" t="n">
        <x:v>208</x:v>
      </x:c>
      <x:c r="I280" s="11" t="n">
        <x:v>13.07</x:v>
      </x:c>
      <x:c r="J280" s="11" t="n">
        <x:v>2718.56</x:v>
      </x:c>
      <x:c r="K280" s="11" t="n">
        <x:v>12</x:v>
      </x:c>
      <x:c r="L280" s="11" t="str">
        <x:v>Extração parcial do início da descrição; conferir unidade/descrição completa no PDF.</x:v>
      </x:c>
      <x:c r="M280" s="11" t="str">
        <x:v>DOC-0007</x:v>
      </x:c>
      <x:c r="N280" s="11" t="n">
        <x:f>H280*I280</x:f>
        <x:v>2718.56</x:v>
      </x:c>
      <x:c r="O280" s="11" t="n">
        <x:f>ROUND(N280-J280,2)</x:f>
        <x:v>0</x:v>
      </x:c>
    </x:row>
    <x:row r="281" ht="84" customHeight="1">
      <x:c r="A281" s="8" t="str">
        <x:v>ED-0007</x:v>
      </x:c>
      <x:c r="B281" s="8" t="str">
        <x:v>Diamantino</x:v>
      </x:c>
      <x:c r="C281" s="8" t="str">
        <x:v>Alto Paraguai - urbano</x:v>
      </x:c>
      <x:c r="D281" s="8" t="n">
        <x:v>31</x:v>
      </x:c>
      <x:c r="E281" s="8" t="str">
        <x:v>MANTEIGA PURA COM SAL</x:v>
      </x:c>
      <x:c r="F281" s="8" t="str">
        <x:v>MANTEIGA PURA COM SAL,</x:v>
      </x:c>
      <x:c r="G281" s="8" t="str">
        <x:v>Unidade de</x:v>
      </x:c>
      <x:c r="H281" s="11" t="n">
        <x:v>241</x:v>
      </x:c>
      <x:c r="I281" s="11" t="n">
        <x:v>36.11</x:v>
      </x:c>
      <x:c r="J281" s="11" t="n">
        <x:v>8702.51</x:v>
      </x:c>
      <x:c r="K281" s="11" t="n">
        <x:v>12</x:v>
      </x:c>
      <x:c r="L281" s="11" t="str">
        <x:v>Extração parcial do início da descrição; conferir unidade/descrição completa no PDF.</x:v>
      </x:c>
      <x:c r="M281" s="11" t="str">
        <x:v>DOC-0007</x:v>
      </x:c>
      <x:c r="N281" s="11" t="n">
        <x:f>H281*I281</x:f>
        <x:v>8702.51</x:v>
      </x:c>
      <x:c r="O281" s="11" t="n">
        <x:f>ROUND(N281-J281,2)</x:f>
        <x:v>0</x:v>
      </x:c>
    </x:row>
    <x:row r="282" ht="84" customHeight="1">
      <x:c r="A282" s="8" t="str">
        <x:v>ED-0007</x:v>
      </x:c>
      <x:c r="B282" s="8" t="str">
        <x:v>Diamantino</x:v>
      </x:c>
      <x:c r="C282" s="8" t="str">
        <x:v>Alto Paraguai - urbano</x:v>
      </x:c>
      <x:c r="D282" s="8" t="n">
        <x:v>32</x:v>
      </x:c>
      <x:c r="E282" s="8" t="str">
        <x:v>MELANCIA</x:v>
      </x:c>
      <x:c r="F282" s="8" t="str">
        <x:v>MELANCIA,          inteira,    livre    de</x:v>
      </x:c>
      <x:c r="G282" s="8" t="str">
        <x:v>Quilograma</x:v>
      </x:c>
      <x:c r="H282" s="11" t="n">
        <x:v>294</x:v>
      </x:c>
      <x:c r="I282" s="11" t="n">
        <x:v>4.72</x:v>
      </x:c>
      <x:c r="J282" s="11" t="n">
        <x:v>1387.68</x:v>
      </x:c>
      <x:c r="K282" s="11" t="n">
        <x:v>13</x:v>
      </x:c>
      <x:c r="L282" s="11" t="str">
        <x:v>Extração parcial do início da descrição; conferir unidade/descrição completa no PDF.</x:v>
      </x:c>
      <x:c r="M282" s="11" t="str">
        <x:v>DOC-0007</x:v>
      </x:c>
      <x:c r="N282" s="11" t="n">
        <x:f>H282*I282</x:f>
        <x:v>1387.6799999999998</x:v>
      </x:c>
      <x:c r="O282" s="11" t="n">
        <x:f>ROUND(N282-J282,2)</x:f>
        <x:v>0</x:v>
      </x:c>
    </x:row>
    <x:row r="283" ht="84" customHeight="1">
      <x:c r="A283" s="8" t="str">
        <x:v>ED-0007</x:v>
      </x:c>
      <x:c r="B283" s="8" t="str">
        <x:v>Diamantino</x:v>
      </x:c>
      <x:c r="C283" s="8" t="str">
        <x:v>Alto Paraguai - urbano</x:v>
      </x:c>
      <x:c r="D283" s="8" t="n">
        <x:v>34</x:v>
      </x:c>
      <x:c r="E283" s="8" t="str">
        <x:v>PÃO CASEIRO</x:v>
      </x:c>
      <x:c r="F283" s="8" t="str">
        <x:v>PÃO CASEIRO, de boa qualidade,</x:v>
      </x:c>
      <x:c r="G283" s="8" t="str">
        <x:v>Quilograma</x:v>
      </x:c>
      <x:c r="H283" s="11" t="n">
        <x:v>262</x:v>
      </x:c>
      <x:c r="I283" s="11" t="n">
        <x:v>24</x:v>
      </x:c>
      <x:c r="J283" s="11" t="n">
        <x:v>6288</x:v>
      </x:c>
      <x:c r="K283" s="11" t="n">
        <x:v>13</x:v>
      </x:c>
      <x:c r="L283" s="11" t="str">
        <x:v>Extração parcial do início da descrição; conferir unidade/descrição completa no PDF.</x:v>
      </x:c>
      <x:c r="M283" s="11" t="str">
        <x:v>DOC-0007</x:v>
      </x:c>
      <x:c r="N283" s="11" t="n">
        <x:f>H283*I283</x:f>
        <x:v>6288</x:v>
      </x:c>
      <x:c r="O283" s="11" t="n">
        <x:f>ROUND(N283-J283,2)</x:f>
        <x:v>0</x:v>
      </x:c>
    </x:row>
    <x:row r="284" ht="84" customHeight="1">
      <x:c r="A284" s="8" t="str">
        <x:v>ED-0007</x:v>
      </x:c>
      <x:c r="B284" s="8" t="str">
        <x:v>Diamantino</x:v>
      </x:c>
      <x:c r="C284" s="8" t="str">
        <x:v>Alto Paraguai - urbano</x:v>
      </x:c>
      <x:c r="D284" s="8" t="n">
        <x:v>35</x:v>
      </x:c>
      <x:c r="E284" s="8" t="str">
        <x:v>PEIXE PINTADO FILÉ</x:v>
      </x:c>
      <x:c r="F284" s="8" t="str">
        <x:v>PEIXE PINTADO FILÉ, de água</x:v>
      </x:c>
      <x:c r="G284" s="8" t="str">
        <x:v>Unidade de</x:v>
      </x:c>
      <x:c r="H284" s="11" t="n">
        <x:v>112</x:v>
      </x:c>
      <x:c r="I284" s="11" t="n">
        <x:v>64.99</x:v>
      </x:c>
      <x:c r="J284" s="11" t="n">
        <x:v>7278.88</x:v>
      </x:c>
      <x:c r="K284" s="11" t="n">
        <x:v>13</x:v>
      </x:c>
      <x:c r="L284" s="11" t="str">
        <x:v>Extração parcial do início da descrição; conferir unidade/descrição completa no PDF.</x:v>
      </x:c>
      <x:c r="M284" s="11" t="str">
        <x:v>DOC-0007</x:v>
      </x:c>
      <x:c r="N284" s="11" t="n">
        <x:f>H284*I284</x:f>
        <x:v>7278.879999999999</x:v>
      </x:c>
      <x:c r="O284" s="11" t="n">
        <x:f>ROUND(N284-J284,2)</x:f>
        <x:v>0</x:v>
      </x:c>
    </x:row>
    <x:row r="285" ht="84" customHeight="1">
      <x:c r="A285" s="8" t="str">
        <x:v>ED-0007</x:v>
      </x:c>
      <x:c r="B285" s="8" t="str">
        <x:v>Diamantino</x:v>
      </x:c>
      <x:c r="C285" s="8" t="str">
        <x:v>Alto Paraguai - urbano</x:v>
      </x:c>
      <x:c r="D285" s="8" t="n">
        <x:v>36</x:v>
      </x:c>
      <x:c r="E285" s="8" t="str">
        <x:v>PEIXE TILÁPIA FILÉ</x:v>
      </x:c>
      <x:c r="F285" s="8" t="str">
        <x:v>PEIXE TILÁPIA FILÉ, peixe de água</x:v>
      </x:c>
      <x:c r="G285" s="8" t="str">
        <x:v>Unidade de</x:v>
      </x:c>
      <x:c r="H285" s="11" t="n">
        <x:v>112</x:v>
      </x:c>
      <x:c r="I285" s="11" t="n">
        <x:v>64</x:v>
      </x:c>
      <x:c r="J285" s="11" t="n">
        <x:v>7168</x:v>
      </x:c>
      <x:c r="K285" s="11" t="n">
        <x:v>14</x:v>
      </x:c>
      <x:c r="L285" s="11" t="str">
        <x:v>Extração parcial do início da descrição; conferir unidade/descrição completa no PDF.</x:v>
      </x:c>
      <x:c r="M285" s="11" t="str">
        <x:v>DOC-0007</x:v>
      </x:c>
      <x:c r="N285" s="11" t="n">
        <x:f>H285*I285</x:f>
        <x:v>7168</x:v>
      </x:c>
      <x:c r="O285" s="11" t="n">
        <x:f>ROUND(N285-J285,2)</x:f>
        <x:v>0</x:v>
      </x:c>
    </x:row>
    <x:row r="286" ht="84" customHeight="1">
      <x:c r="A286" s="8" t="str">
        <x:v>ED-0007</x:v>
      </x:c>
      <x:c r="B286" s="8" t="str">
        <x:v>Diamantino</x:v>
      </x:c>
      <x:c r="C286" s="8" t="str">
        <x:v>Alto Paraguai - urbano</x:v>
      </x:c>
      <x:c r="D286" s="8" t="n">
        <x:v>37</x:v>
      </x:c>
      <x:c r="E286" s="8" t="str">
        <x:v>PEPINO</x:v>
      </x:c>
      <x:c r="F286" s="8" t="str">
        <x:v>PEPINO, inteiro, livre de sujidades,</x:v>
      </x:c>
      <x:c r="G286" s="8" t="str">
        <x:v>Quilograma</x:v>
      </x:c>
      <x:c r="H286" s="11" t="n">
        <x:v>58</x:v>
      </x:c>
      <x:c r="I286" s="11" t="n">
        <x:v>8.4</x:v>
      </x:c>
      <x:c r="J286" s="11" t="n">
        <x:v>487.2</x:v>
      </x:c>
      <x:c r="K286" s="11" t="n">
        <x:v>14</x:v>
      </x:c>
      <x:c r="L286" s="11" t="str">
        <x:v>Extração parcial do início da descrição; conferir unidade/descrição completa no PDF.</x:v>
      </x:c>
      <x:c r="M286" s="11" t="str">
        <x:v>DOC-0007</x:v>
      </x:c>
      <x:c r="N286" s="11" t="n">
        <x:f>H286*I286</x:f>
        <x:v>487.20000000000005</x:v>
      </x:c>
      <x:c r="O286" s="11" t="n">
        <x:f>ROUND(N286-J286,2)</x:f>
        <x:v>0</x:v>
      </x:c>
    </x:row>
    <x:row r="287" ht="84" customHeight="1">
      <x:c r="A287" s="8" t="str">
        <x:v>ED-0007</x:v>
      </x:c>
      <x:c r="B287" s="8" t="str">
        <x:v>Diamantino</x:v>
      </x:c>
      <x:c r="C287" s="8" t="str">
        <x:v>Alto Paraguai - urbano</x:v>
      </x:c>
      <x:c r="D287" s="8" t="n">
        <x:v>38</x:v>
      </x:c>
      <x:c r="E287" s="8" t="str">
        <x:v>PIMENTA DE CHEIRO</x:v>
      </x:c>
      <x:c r="F287" s="8" t="str">
        <x:v>PIMENTA DE CHEIRO, inteira, livre</x:v>
      </x:c>
      <x:c r="G287" s="8" t="str">
        <x:v>Quilograma</x:v>
      </x:c>
      <x:c r="H287" s="11" t="n">
        <x:v>24</x:v>
      </x:c>
      <x:c r="I287" s="11" t="n">
        <x:v>55.12</x:v>
      </x:c>
      <x:c r="J287" s="11" t="n">
        <x:v>1322.88</x:v>
      </x:c>
      <x:c r="K287" s="11" t="n">
        <x:v>14</x:v>
      </x:c>
      <x:c r="L287" s="11" t="str">
        <x:v>Extração parcial do início da descrição; conferir unidade/descrição completa no PDF.</x:v>
      </x:c>
      <x:c r="M287" s="11" t="str">
        <x:v>DOC-0007</x:v>
      </x:c>
      <x:c r="N287" s="11" t="n">
        <x:f>H287*I287</x:f>
        <x:v>1322.8799999999999</x:v>
      </x:c>
      <x:c r="O287" s="11" t="n">
        <x:f>ROUND(N287-J287,2)</x:f>
        <x:v>0</x:v>
      </x:c>
    </x:row>
    <x:row r="288" ht="84" customHeight="1">
      <x:c r="A288" s="8" t="str">
        <x:v>ED-0007</x:v>
      </x:c>
      <x:c r="B288" s="8" t="str">
        <x:v>Diamantino</x:v>
      </x:c>
      <x:c r="C288" s="8" t="str">
        <x:v>Alto Paraguai - urbano</x:v>
      </x:c>
      <x:c r="D288" s="8" t="n">
        <x:v>39</x:v>
      </x:c>
      <x:c r="E288" s="8" t="str">
        <x:v>PIMENTÃO VERDE</x:v>
      </x:c>
      <x:c r="F288" s="8" t="str">
        <x:v>PIMENTÃO VERDE, inteiro, livre de</x:v>
      </x:c>
      <x:c r="G288" s="8" t="str">
        <x:v>Quilograma</x:v>
      </x:c>
      <x:c r="H288" s="11" t="n">
        <x:v>25</x:v>
      </x:c>
      <x:c r="I288" s="11" t="n">
        <x:v>14.11</x:v>
      </x:c>
      <x:c r="J288" s="11" t="n">
        <x:v>352.75</x:v>
      </x:c>
      <x:c r="K288" s="11" t="n">
        <x:v>15</x:v>
      </x:c>
      <x:c r="L288" s="11" t="str">
        <x:v>Extração parcial do início da descrição; conferir unidade/descrição completa no PDF.</x:v>
      </x:c>
      <x:c r="M288" s="11" t="str">
        <x:v>DOC-0007</x:v>
      </x:c>
      <x:c r="N288" s="11" t="n">
        <x:f>H288*I288</x:f>
        <x:v>352.75</x:v>
      </x:c>
      <x:c r="O288" s="11" t="n">
        <x:f>ROUND(N288-J288,2)</x:f>
        <x:v>0</x:v>
      </x:c>
    </x:row>
    <x:row r="289" ht="84" customHeight="1">
      <x:c r="A289" s="8" t="str">
        <x:v>ED-0007</x:v>
      </x:c>
      <x:c r="B289" s="8" t="str">
        <x:v>Diamantino</x:v>
      </x:c>
      <x:c r="C289" s="8" t="str">
        <x:v>Alto Paraguai - urbano</x:v>
      </x:c>
      <x:c r="D289" s="8" t="n">
        <x:v>40</x:v>
      </x:c>
      <x:c r="E289" s="8" t="str">
        <x:v>POLPA DE ABACAXI</x:v>
      </x:c>
      <x:c r="F289" s="8" t="str">
        <x:v>POLPA DE ABACAXI, SEM adição</x:v>
      </x:c>
      <x:c r="G289" s="8" t="str">
        <x:v>Unidade de</x:v>
      </x:c>
      <x:c r="H289" s="11" t="n">
        <x:v>169</x:v>
      </x:c>
      <x:c r="I289" s="11" t="n">
        <x:v>44.09</x:v>
      </x:c>
      <x:c r="J289" s="11" t="n">
        <x:v>7451.21</x:v>
      </x:c>
      <x:c r="K289" s="11" t="n">
        <x:v>15</x:v>
      </x:c>
      <x:c r="L289" s="11" t="str">
        <x:v>Extração parcial do início da descrição; conferir unidade/descrição completa no PDF.</x:v>
      </x:c>
      <x:c r="M289" s="11" t="str">
        <x:v>DOC-0007</x:v>
      </x:c>
      <x:c r="N289" s="11" t="n">
        <x:f>H289*I289</x:f>
        <x:v>7451.210000000001</x:v>
      </x:c>
      <x:c r="O289" s="11" t="n">
        <x:f>ROUND(N289-J289,2)</x:f>
        <x:v>0</x:v>
      </x:c>
    </x:row>
    <x:row r="290" ht="84" customHeight="1">
      <x:c r="A290" s="8" t="str">
        <x:v>ED-0007</x:v>
      </x:c>
      <x:c r="B290" s="8" t="str">
        <x:v>Diamantino</x:v>
      </x:c>
      <x:c r="C290" s="8" t="str">
        <x:v>Alto Paraguai - urbano</x:v>
      </x:c>
      <x:c r="D290" s="8" t="n">
        <x:v>41</x:v>
      </x:c>
      <x:c r="E290" s="8" t="str">
        <x:v>POLPA DE ACEROLA</x:v>
      </x:c>
      <x:c r="F290" s="8" t="str">
        <x:v>POLPA DE ACEROLA, SEM adição</x:v>
      </x:c>
      <x:c r="G290" s="8" t="str">
        <x:v>Unidade de</x:v>
      </x:c>
      <x:c r="H290" s="11" t="n">
        <x:v>169</x:v>
      </x:c>
      <x:c r="I290" s="11" t="n">
        <x:v>43.37</x:v>
      </x:c>
      <x:c r="J290" s="11" t="n">
        <x:v>7329.53</x:v>
      </x:c>
      <x:c r="K290" s="11" t="n">
        <x:v>15</x:v>
      </x:c>
      <x:c r="L290" s="11" t="str">
        <x:v>Extração parcial do início da descrição; conferir unidade/descrição completa no PDF.</x:v>
      </x:c>
      <x:c r="M290" s="11" t="str">
        <x:v>DOC-0007</x:v>
      </x:c>
      <x:c r="N290" s="11" t="n">
        <x:f>H290*I290</x:f>
        <x:v>7329.53</x:v>
      </x:c>
      <x:c r="O290" s="11" t="n">
        <x:f>ROUND(N290-J290,2)</x:f>
        <x:v>0</x:v>
      </x:c>
    </x:row>
    <x:row r="291" ht="84" customHeight="1">
      <x:c r="A291" s="8" t="str">
        <x:v>ED-0007</x:v>
      </x:c>
      <x:c r="B291" s="8" t="str">
        <x:v>Diamantino</x:v>
      </x:c>
      <x:c r="C291" s="8" t="str">
        <x:v>Alto Paraguai - urbano</x:v>
      </x:c>
      <x:c r="D291" s="8" t="n">
        <x:v>42</x:v>
      </x:c>
      <x:c r="E291" s="8" t="str">
        <x:v>POLPA DE CAJÚ</x:v>
      </x:c>
      <x:c r="F291" s="8" t="str">
        <x:v>POLPA DE CAJÚ, SEM adição de</x:v>
      </x:c>
      <x:c r="G291" s="8" t="str">
        <x:v>Unidade de</x:v>
      </x:c>
      <x:c r="H291" s="11" t="n">
        <x:v>169</x:v>
      </x:c>
      <x:c r="I291" s="11" t="n">
        <x:v>44.8</x:v>
      </x:c>
      <x:c r="J291" s="11" t="n">
        <x:v>7571.2</x:v>
      </x:c>
      <x:c r="K291" s="11" t="n">
        <x:v>16</x:v>
      </x:c>
      <x:c r="L291" s="11" t="str">
        <x:v>Extração parcial do início da descrição; conferir unidade/descrição completa no PDF.</x:v>
      </x:c>
      <x:c r="M291" s="11" t="str">
        <x:v>DOC-0007</x:v>
      </x:c>
      <x:c r="N291" s="11" t="n">
        <x:f>H291*I291</x:f>
        <x:v>7571.2</x:v>
      </x:c>
      <x:c r="O291" s="11" t="n">
        <x:f>ROUND(N291-J291,2)</x:f>
        <x:v>0</x:v>
      </x:c>
    </x:row>
    <x:row r="292" ht="84" customHeight="1">
      <x:c r="A292" s="8" t="str">
        <x:v>ED-0007</x:v>
      </x:c>
      <x:c r="B292" s="8" t="str">
        <x:v>Diamantino</x:v>
      </x:c>
      <x:c r="C292" s="8" t="str">
        <x:v>Alto Paraguai - urbano</x:v>
      </x:c>
      <x:c r="D292" s="8" t="n">
        <x:v>43</x:v>
      </x:c>
      <x:c r="E292" s="8" t="str">
        <x:v>PONCÃ</x:v>
      </x:c>
      <x:c r="F292" s="8" t="str">
        <x:v>PONCÃ, inteiro, livre de sujidades,</x:v>
      </x:c>
      <x:c r="G292" s="8" t="str">
        <x:v>Quilograma</x:v>
      </x:c>
      <x:c r="H292" s="11" t="n">
        <x:v>93</x:v>
      </x:c>
      <x:c r="I292" s="11" t="n">
        <x:v>13.16</x:v>
      </x:c>
      <x:c r="J292" s="11" t="n">
        <x:v>1223.88</x:v>
      </x:c>
      <x:c r="K292" s="11" t="n">
        <x:v>16</x:v>
      </x:c>
      <x:c r="L292" s="11" t="str">
        <x:v>Extração parcial do início da descrição; conferir unidade/descrição completa no PDF.</x:v>
      </x:c>
      <x:c r="M292" s="11" t="str">
        <x:v>DOC-0007</x:v>
      </x:c>
      <x:c r="N292" s="11" t="n">
        <x:f>H292*I292</x:f>
        <x:v>1223.88</x:v>
      </x:c>
      <x:c r="O292" s="11" t="n">
        <x:f>ROUND(N292-J292,2)</x:f>
        <x:v>0</x:v>
      </x:c>
    </x:row>
    <x:row r="293" ht="84" customHeight="1">
      <x:c r="A293" s="8" t="str">
        <x:v>ED-0007</x:v>
      </x:c>
      <x:c r="B293" s="8" t="str">
        <x:v>Diamantino</x:v>
      </x:c>
      <x:c r="C293" s="8" t="str">
        <x:v>Alto Paraguai - urbano</x:v>
      </x:c>
      <x:c r="D293" s="8" t="n">
        <x:v>44</x:v>
      </x:c>
      <x:c r="E293" s="8" t="str">
        <x:v>QUEIJO        MUSSARELA</x:v>
      </x:c>
      <x:c r="F293" s="8" t="str">
        <x:v>QUEIJO        MUSSARELA,           obtido</x:v>
      </x:c>
      <x:c r="G293" s="8" t="str">
        <x:v>Quilograma</x:v>
      </x:c>
      <x:c r="H293" s="11" t="n">
        <x:v>158</x:v>
      </x:c>
      <x:c r="I293" s="11" t="n">
        <x:v>61.2</x:v>
      </x:c>
      <x:c r="J293" s="11" t="n">
        <x:v>9669.6</x:v>
      </x:c>
      <x:c r="K293" s="11" t="n">
        <x:v>16</x:v>
      </x:c>
      <x:c r="L293" s="11" t="str">
        <x:v>Extração parcial do início da descrição; conferir unidade/descrição completa no PDF.</x:v>
      </x:c>
      <x:c r="M293" s="11" t="str">
        <x:v>DOC-0007</x:v>
      </x:c>
      <x:c r="N293" s="11" t="n">
        <x:f>H293*I293</x:f>
        <x:v>9669.6</x:v>
      </x:c>
      <x:c r="O293" s="11" t="n">
        <x:f>ROUND(N293-J293,2)</x:f>
        <x:v>0</x:v>
      </x:c>
    </x:row>
    <x:row r="294" ht="84" customHeight="1">
      <x:c r="A294" s="8" t="str">
        <x:v>ED-0007</x:v>
      </x:c>
      <x:c r="B294" s="8" t="str">
        <x:v>Diamantino</x:v>
      </x:c>
      <x:c r="C294" s="8" t="str">
        <x:v>Alto Paraguai - urbano</x:v>
      </x:c>
      <x:c r="D294" s="8" t="n">
        <x:v>45</x:v>
      </x:c>
      <x:c r="E294" s="8" t="str">
        <x:v>REPOLHO            BRANCO/VERDE</x:v>
      </x:c>
      <x:c r="F294" s="8" t="str">
        <x:v>REPOLHO            BRANCO/VERDE,</x:v>
      </x:c>
      <x:c r="G294" s="8" t="str">
        <x:v>Quilograma</x:v>
      </x:c>
      <x:c r="H294" s="11" t="n">
        <x:v>439</x:v>
      </x:c>
      <x:c r="I294" s="11" t="n">
        <x:v>6.98</x:v>
      </x:c>
      <x:c r="J294" s="11" t="n">
        <x:v>3064.22</x:v>
      </x:c>
      <x:c r="K294" s="11" t="n">
        <x:v>17</x:v>
      </x:c>
      <x:c r="L294" s="11" t="str">
        <x:v>Extração parcial do início da descrição; conferir unidade/descrição completa no PDF.</x:v>
      </x:c>
      <x:c r="M294" s="11" t="str">
        <x:v>DOC-0007</x:v>
      </x:c>
      <x:c r="N294" s="11" t="n">
        <x:f>H294*I294</x:f>
        <x:v>3064.2200000000003</x:v>
      </x:c>
      <x:c r="O294" s="11" t="n">
        <x:f>ROUND(N294-J294,2)</x:f>
        <x:v>0</x:v>
      </x:c>
    </x:row>
    <x:row r="295" ht="84" customHeight="1">
      <x:c r="A295" s="8" t="str">
        <x:v>ED-0007</x:v>
      </x:c>
      <x:c r="B295" s="8" t="str">
        <x:v>Diamantino</x:v>
      </x:c>
      <x:c r="C295" s="8" t="str">
        <x:v>Alto Paraguai - urbano</x:v>
      </x:c>
      <x:c r="D295" s="8" t="n">
        <x:v>46</x:v>
      </x:c>
      <x:c r="E295" s="8" t="str">
        <x:v>REQUEIJÃO CREMOSO</x:v>
      </x:c>
      <x:c r="F295" s="8" t="str">
        <x:v>REQUEIJÃO CREMOSO, produzido</x:v>
      </x:c>
      <x:c r="G295" s="8" t="str">
        <x:v>Unidade de</x:v>
      </x:c>
      <x:c r="H295" s="11" t="n">
        <x:v>74</x:v>
      </x:c>
      <x:c r="I295" s="11" t="n">
        <x:v>11.91</x:v>
      </x:c>
      <x:c r="J295" s="11" t="n">
        <x:v>881.34</x:v>
      </x:c>
      <x:c r="K295" s="11" t="n">
        <x:v>17</x:v>
      </x:c>
      <x:c r="L295" s="11" t="str">
        <x:v>Extração parcial do início da descrição; conferir unidade/descrição completa no PDF.</x:v>
      </x:c>
      <x:c r="M295" s="11" t="str">
        <x:v>DOC-0007</x:v>
      </x:c>
      <x:c r="N295" s="11" t="n">
        <x:f>H295*I295</x:f>
        <x:v>881.34</x:v>
      </x:c>
      <x:c r="O295" s="11" t="n">
        <x:f>ROUND(N295-J295,2)</x:f>
        <x:v>0</x:v>
      </x:c>
    </x:row>
    <x:row r="296" ht="84" customHeight="1">
      <x:c r="A296" s="8" t="str">
        <x:v>ED-0007</x:v>
      </x:c>
      <x:c r="B296" s="8" t="str">
        <x:v>Diamantino</x:v>
      </x:c>
      <x:c r="C296" s="8" t="str">
        <x:v>Alto Paraguai - urbano</x:v>
      </x:c>
      <x:c r="D296" s="8" t="n">
        <x:v>47</x:v>
      </x:c>
      <x:c r="E296" s="8" t="str">
        <x:v>RÚCULA</x:v>
      </x:c>
      <x:c r="F296" s="8" t="str">
        <x:v>RÚCULA, com folhas inteiras, livre de</x:v>
      </x:c>
      <x:c r="G296" s="8" t="str">
        <x:v>Quilograma</x:v>
      </x:c>
      <x:c r="H296" s="11" t="n">
        <x:v>143</x:v>
      </x:c>
      <x:c r="I296" s="11" t="n">
        <x:v>26.25</x:v>
      </x:c>
      <x:c r="J296" s="11" t="n">
        <x:v>3753.75</x:v>
      </x:c>
      <x:c r="K296" s="11" t="n">
        <x:v>18</x:v>
      </x:c>
      <x:c r="L296" s="11" t="str">
        <x:v>Extração parcial do início da descrição; conferir unidade/descrição completa no PDF.</x:v>
      </x:c>
      <x:c r="M296" s="11" t="str">
        <x:v>DOC-0007</x:v>
      </x:c>
      <x:c r="N296" s="11" t="n">
        <x:f>H296*I296</x:f>
        <x:v>3753.75</x:v>
      </x:c>
      <x:c r="O296" s="11" t="n">
        <x:f>ROUND(N296-J296,2)</x:f>
        <x:v>0</x:v>
      </x:c>
    </x:row>
    <x:row r="297" ht="84" customHeight="1">
      <x:c r="A297" s="8" t="str">
        <x:v>ED-0007</x:v>
      </x:c>
      <x:c r="B297" s="8" t="str">
        <x:v>Diamantino</x:v>
      </x:c>
      <x:c r="C297" s="8" t="str">
        <x:v>Alto Paraguai - urbano</x:v>
      </x:c>
      <x:c r="D297" s="8" t="n">
        <x:v>48</x:v>
      </x:c>
      <x:c r="E297" s="8" t="str">
        <x:v>SALSA</x:v>
      </x:c>
      <x:c r="F297" s="8" t="str">
        <x:v>SALSA, com talos e folhas inteiros,</x:v>
      </x:c>
      <x:c r="G297" s="8" t="str">
        <x:v>Quilograma</x:v>
      </x:c>
      <x:c r="H297" s="11" t="n">
        <x:v>82</x:v>
      </x:c>
      <x:c r="I297" s="11" t="n">
        <x:v>27.83</x:v>
      </x:c>
      <x:c r="J297" s="11" t="n">
        <x:v>2282.06</x:v>
      </x:c>
      <x:c r="K297" s="11" t="n">
        <x:v>18</x:v>
      </x:c>
      <x:c r="L297" s="11" t="str">
        <x:v>Extração parcial do início da descrição; conferir unidade/descrição completa no PDF.</x:v>
      </x:c>
      <x:c r="M297" s="11" t="str">
        <x:v>DOC-0007</x:v>
      </x:c>
      <x:c r="N297" s="11" t="n">
        <x:f>H297*I297</x:f>
        <x:v>2282.06</x:v>
      </x:c>
      <x:c r="O297" s="11" t="n">
        <x:f>ROUND(N297-J297,2)</x:f>
        <x:v>0</x:v>
      </x:c>
    </x:row>
    <x:row r="298" ht="84" customHeight="1">
      <x:c r="A298" s="8" t="str">
        <x:v>ED-0007</x:v>
      </x:c>
      <x:c r="B298" s="8" t="str">
        <x:v>Diamantino</x:v>
      </x:c>
      <x:c r="C298" s="8" t="str">
        <x:v>Alto Paraguai - urbano</x:v>
      </x:c>
      <x:c r="D298" s="8" t="n">
        <x:v>49</x:v>
      </x:c>
      <x:c r="E298" s="8" t="str">
        <x:v>TOMATE SALADA</x:v>
      </x:c>
      <x:c r="F298" s="8" t="str">
        <x:v>TOMATE SALADA, inteiros, sem</x:v>
      </x:c>
      <x:c r="G298" s="8" t="str">
        <x:v>Quilograma</x:v>
      </x:c>
      <x:c r="H298" s="11" t="n">
        <x:v>298</x:v>
      </x:c>
      <x:c r="I298" s="11" t="n">
        <x:v>12.51</x:v>
      </x:c>
      <x:c r="J298" s="11" t="n">
        <x:v>3727.98</x:v>
      </x:c>
      <x:c r="K298" s="11" t="n">
        <x:v>18</x:v>
      </x:c>
      <x:c r="L298" s="11" t="str">
        <x:v>Extração parcial do início da descrição; conferir unidade/descrição completa no PDF.</x:v>
      </x:c>
      <x:c r="M298" s="11" t="str">
        <x:v>DOC-0007</x:v>
      </x:c>
      <x:c r="N298" s="11" t="n">
        <x:f>H298*I298</x:f>
        <x:v>3727.98</x:v>
      </x:c>
      <x:c r="O298" s="11" t="n">
        <x:f>ROUND(N298-J298,2)</x:f>
        <x:v>0</x:v>
      </x:c>
    </x:row>
    <x:row r="299" ht="84" customHeight="1">
      <x:c r="A299" s="8" t="str">
        <x:v>ED-0008</x:v>
      </x:c>
      <x:c r="B299" s="8" t="str">
        <x:v>Diamantino</x:v>
      </x:c>
      <x:c r="C299" s="8" t="str">
        <x:v>Nova Mutum - campo</x:v>
      </x:c>
      <x:c r="D299" s="8" t="n">
        <x:v>1</x:v>
      </x:c>
      <x:c r="E299" s="8" t="str">
        <x:v>isento de podridões</x:v>
      </x:c>
      <x:c r="F299" s="8" t="str">
        <x:v>isento de podridões, não se</x:v>
      </x:c>
      <x:c r="G299" s="8" t="str">
        <x:v>Quilograma</x:v>
      </x:c>
      <x:c r="H299" s="11" t="n">
        <x:v>1641</x:v>
      </x:c>
      <x:c r="I299" s="11" t="n">
        <x:v>12.21</x:v>
      </x:c>
      <x:c r="J299" s="11" t="n">
        <x:v>20036.61</x:v>
      </x:c>
      <x:c r="K299" s="11" t="n">
        <x:v>2</x:v>
      </x:c>
      <x:c r="L299" s="11" t="str">
        <x:v>Extração parcial do início da descrição; conferir unidade/descrição completa no PDF.</x:v>
      </x:c>
      <x:c r="M299" s="11" t="str">
        <x:v>DOC-0008</x:v>
      </x:c>
      <x:c r="N299" s="11" t="n">
        <x:f>H299*I299</x:f>
        <x:v>20036.61</x:v>
      </x:c>
      <x:c r="O299" s="11" t="n">
        <x:f>ROUND(N299-J299,2)</x:f>
        <x:v>0</x:v>
      </x:c>
    </x:row>
    <x:row r="300" ht="84" customHeight="1">
      <x:c r="A300" s="8" t="str">
        <x:v>ED-0008</x:v>
      </x:c>
      <x:c r="B300" s="8" t="str">
        <x:v>Diamantino</x:v>
      </x:c>
      <x:c r="C300" s="8" t="str">
        <x:v>Nova Mutum - campo</x:v>
      </x:c>
      <x:c r="D300" s="8" t="n">
        <x:v>5</x:v>
      </x:c>
      <x:c r="E300" s="8" t="str">
        <x:v>congelado.      As      características</x:v>
      </x:c>
      <x:c r="F300" s="8" t="str">
        <x:v>congelado.      As      características</x:v>
      </x:c>
      <x:c r="G300" s="8" t="str">
        <x:v>Quilograma</x:v>
      </x:c>
      <x:c r="H300" s="11" t="n">
        <x:v>615</x:v>
      </x:c>
      <x:c r="I300" s="11" t="n">
        <x:v>58</x:v>
      </x:c>
      <x:c r="J300" s="11" t="n">
        <x:v>35670</x:v>
      </x:c>
      <x:c r="K300" s="11" t="n">
        <x:v>4</x:v>
      </x:c>
      <x:c r="L300" s="11" t="str">
        <x:v>Extração parcial do início da descrição; conferir unidade/descrição completa no PDF.</x:v>
      </x:c>
      <x:c r="M300" s="11" t="str">
        <x:v>DOC-0008</x:v>
      </x:c>
      <x:c r="N300" s="11" t="n">
        <x:f>H300*I300</x:f>
        <x:v>35670</x:v>
      </x:c>
      <x:c r="O300" s="11" t="n">
        <x:f>ROUND(N300-J300,2)</x:f>
        <x:v>0</x:v>
      </x:c>
    </x:row>
    <x:row r="301" ht="84" customHeight="1">
      <x:c r="A301" s="8" t="str">
        <x:v>ED-0008</x:v>
      </x:c>
      <x:c r="B301" s="8" t="str">
        <x:v>Diamantino</x:v>
      </x:c>
      <x:c r="C301" s="8" t="str">
        <x:v>Nova Mutum - campo</x:v>
      </x:c>
      <x:c r="D301" s="8" t="n">
        <x:v>6</x:v>
      </x:c>
      <x:c r="E301" s="8" t="str">
        <x:v>murcha       ou     congelada.     As</x:v>
      </x:c>
      <x:c r="F301" s="8" t="str">
        <x:v>murcha       ou     congelada.     As</x:v>
      </x:c>
      <x:c r="G301" s="8" t="str">
        <x:v>Quilograma</x:v>
      </x:c>
      <x:c r="H301" s="11" t="n">
        <x:v>3485</x:v>
      </x:c>
      <x:c r="I301" s="11" t="n">
        <x:v>24.67</x:v>
      </x:c>
      <x:c r="J301" s="11" t="n">
        <x:v>85974.95</x:v>
      </x:c>
      <x:c r="K301" s="11" t="n">
        <x:v>4</x:v>
      </x:c>
      <x:c r="L301" s="11" t="str">
        <x:v>Extração parcial do início da descrição; conferir unidade/descrição completa no PDF.</x:v>
      </x:c>
      <x:c r="M301" s="11" t="str">
        <x:v>DOC-0008</x:v>
      </x:c>
      <x:c r="N301" s="11" t="n">
        <x:f>H301*I301</x:f>
        <x:v>85974.95000000001</x:v>
      </x:c>
      <x:c r="O301" s="11" t="n">
        <x:f>ROUND(N301-J301,2)</x:f>
        <x:v>0</x:v>
      </x:c>
    </x:row>
    <x:row r="302" ht="84" customHeight="1">
      <x:c r="A302" s="8" t="str">
        <x:v>ED-0008</x:v>
      </x:c>
      <x:c r="B302" s="8" t="str">
        <x:v>Diamantino</x:v>
      </x:c>
      <x:c r="C302" s="8" t="str">
        <x:v>Nova Mutum - campo</x:v>
      </x:c>
      <x:c r="D302" s="8" t="n">
        <x:v>16</x:v>
      </x:c>
      <x:c r="E302" s="8" t="str">
        <x:v>CEBOLINHA</x:v>
      </x:c>
      <x:c r="F302" s="8" t="str">
        <x:v>CEBOLINHA, verde, com folhas</x:v>
      </x:c>
      <x:c r="G302" s="8" t="str">
        <x:v>Quilograma</x:v>
      </x:c>
      <x:c r="H302" s="11" t="n">
        <x:v>718</x:v>
      </x:c>
      <x:c r="I302" s="11" t="n">
        <x:v>29</x:v>
      </x:c>
      <x:c r="J302" s="11" t="n">
        <x:v>20822</x:v>
      </x:c>
      <x:c r="K302" s="11" t="n">
        <x:v>7</x:v>
      </x:c>
      <x:c r="L302" s="11" t="str">
        <x:v>Extração parcial do início da descrição; conferir unidade/descrição completa no PDF.</x:v>
      </x:c>
      <x:c r="M302" s="11" t="str">
        <x:v>DOC-0008</x:v>
      </x:c>
      <x:c r="N302" s="11" t="n">
        <x:f>H302*I302</x:f>
        <x:v>20822</x:v>
      </x:c>
      <x:c r="O302" s="11" t="n">
        <x:f>ROUND(N302-J302,2)</x:f>
        <x:v>0</x:v>
      </x:c>
    </x:row>
    <x:row r="303" ht="84" customHeight="1">
      <x:c r="A303" s="8" t="str">
        <x:v>ED-0008</x:v>
      </x:c>
      <x:c r="B303" s="8" t="str">
        <x:v>Diamantino</x:v>
      </x:c>
      <x:c r="C303" s="8" t="str">
        <x:v>Nova Mutum - campo</x:v>
      </x:c>
      <x:c r="D303" s="8" t="n">
        <x:v>17</x:v>
      </x:c>
      <x:c r="E303" s="8" t="str">
        <x:v>Consistência firme</x:v>
      </x:c>
      <x:c r="F303" s="8" t="str">
        <x:v>Consistência firme, apresentando</x:v>
      </x:c>
      <x:c r="G303" s="8" t="str">
        <x:v>Quilograma</x:v>
      </x:c>
      <x:c r="H303" s="11" t="n">
        <x:v>3114</x:v>
      </x:c>
      <x:c r="I303" s="11" t="n">
        <x:v>5.99</x:v>
      </x:c>
      <x:c r="J303" s="11" t="n">
        <x:v>18652.86</x:v>
      </x:c>
      <x:c r="K303" s="11" t="n">
        <x:v>8</x:v>
      </x:c>
      <x:c r="L303" s="11" t="str">
        <x:v>Extração parcial do início da descrição; conferir unidade/descrição completa no PDF.</x:v>
      </x:c>
      <x:c r="M303" s="11" t="str">
        <x:v>DOC-0008</x:v>
      </x:c>
      <x:c r="N303" s="11" t="n">
        <x:f>H303*I303</x:f>
        <x:v>18652.86</x:v>
      </x:c>
      <x:c r="O303" s="11" t="n">
        <x:f>ROUND(N303-J303,2)</x:f>
        <x:v>0</x:v>
      </x:c>
    </x:row>
    <x:row r="304" ht="84" customHeight="1">
      <x:c r="A304" s="8" t="str">
        <x:v>ED-0008</x:v>
      </x:c>
      <x:c r="B304" s="8" t="str">
        <x:v>Diamantino</x:v>
      </x:c>
      <x:c r="C304" s="8" t="str">
        <x:v>Nova Mutum - campo</x:v>
      </x:c>
      <x:c r="D304" s="8" t="n">
        <x:v>35</x:v>
      </x:c>
      <x:c r="E304" s="8" t="str">
        <x:v>apresentar desidratado</x:v>
      </x:c>
      <x:c r="F304" s="8" t="str">
        <x:v>apresentar desidratado, murcho ou</x:v>
      </x:c>
      <x:c r="G304" s="8" t="str">
        <x:v>Quilograma</x:v>
      </x:c>
      <x:c r="H304" s="11" t="n">
        <x:v>246</x:v>
      </x:c>
      <x:c r="I304" s="11" t="n">
        <x:v>10.63</x:v>
      </x:c>
      <x:c r="J304" s="11" t="n">
        <x:v>2614.98</x:v>
      </x:c>
      <x:c r="K304" s="11" t="n">
        <x:v>14</x:v>
      </x:c>
      <x:c r="L304" s="11" t="str">
        <x:v>Extração parcial do início da descrição; conferir unidade/descrição completa no PDF.</x:v>
      </x:c>
      <x:c r="M304" s="11" t="str">
        <x:v>DOC-0008</x:v>
      </x:c>
      <x:c r="N304" s="11" t="n">
        <x:f>H304*I304</x:f>
        <x:v>2614.98</x:v>
      </x:c>
      <x:c r="O304" s="11" t="n">
        <x:f>ROUND(N304-J304,2)</x:f>
        <x:v>0</x:v>
      </x:c>
    </x:row>
    <x:row r="305" ht="84" customHeight="1">
      <x:c r="A305" s="8" t="str">
        <x:v>ED-0008</x:v>
      </x:c>
      <x:c r="B305" s="8" t="str">
        <x:v>Diamantino</x:v>
      </x:c>
      <x:c r="C305" s="8" t="str">
        <x:v>Nova Mutum - campo</x:v>
      </x:c>
      <x:c r="D305" s="8" t="n">
        <x:v>41</x:v>
      </x:c>
      <x:c r="E305" s="8" t="str">
        <x:v>atender aos requisitos mínimos de</x:v>
      </x:c>
      <x:c r="F305" s="8" t="str">
        <x:v>atender aos requisitos mínimos de</x:v>
      </x:c>
      <x:c r="G305" s="8" t="str">
        <x:v>Quilograma</x:v>
      </x:c>
      <x:c r="H305" s="11" t="n">
        <x:v>717</x:v>
      </x:c>
      <x:c r="I305" s="11" t="n">
        <x:v>27.5</x:v>
      </x:c>
      <x:c r="J305" s="11" t="n">
        <x:v>19717.5</x:v>
      </x:c>
      <x:c r="K305" s="11" t="n">
        <x:v>16</x:v>
      </x:c>
      <x:c r="L305" s="11" t="str">
        <x:v>Extração parcial do início da descrição; conferir unidade/descrição completa no PDF.</x:v>
      </x:c>
      <x:c r="M305" s="11" t="str">
        <x:v>DOC-0008</x:v>
      </x:c>
      <x:c r="N305" s="11" t="n">
        <x:f>H305*I305</x:f>
        <x:v>19717.5</x:v>
      </x:c>
      <x:c r="O305" s="11" t="n">
        <x:f>ROUND(N305-J305,2)</x:f>
        <x:v>0</x:v>
      </x:c>
    </x:row>
    <x:row r="306" ht="84" customHeight="1">
      <x:c r="A306" s="8" t="str">
        <x:v>ED-0009</x:v>
      </x:c>
      <x:c r="B306" s="8" t="str">
        <x:v>Diamantino</x:v>
      </x:c>
      <x:c r="C306" s="8" t="str">
        <x:v>Nova Mutum - urbano</x:v>
      </x:c>
      <x:c r="D306" s="8" t="n">
        <x:v>4</x:v>
      </x:c>
      <x:c r="E306" s="8" t="str">
        <x:v>qualidade estabelecidos na legislação</x:v>
      </x:c>
      <x:c r="F306" s="8" t="str">
        <x:v>qualidade estabelecidos na legislação</x:v>
      </x:c>
      <x:c r="G306" s="8" t="str">
        <x:v>Quilograma</x:v>
      </x:c>
      <x:c r="H306" s="11" t="n">
        <x:v>46</x:v>
      </x:c>
      <x:c r="I306" s="11" t="n">
        <x:v>9.29</x:v>
      </x:c>
      <x:c r="J306" s="11" t="n">
        <x:v>427.34</x:v>
      </x:c>
      <x:c r="K306" s="11" t="n">
        <x:v>4</x:v>
      </x:c>
      <x:c r="L306" s="11" t="str">
        <x:v>Extração parcial do início da descrição; conferir unidade/descrição completa no PDF.</x:v>
      </x:c>
      <x:c r="M306" s="11" t="str">
        <x:v>DOC-0009</x:v>
      </x:c>
      <x:c r="N306" s="11" t="n">
        <x:f>H306*I306</x:f>
        <x:v>427.34</x:v>
      </x:c>
      <x:c r="O306" s="11" t="n">
        <x:f>ROUND(N306-J306,2)</x:f>
        <x:v>0</x:v>
      </x:c>
    </x:row>
    <x:row r="307" ht="84" customHeight="1">
      <x:c r="A307" s="8" t="str">
        <x:v>ED-0010</x:v>
      </x:c>
      <x:c r="B307" s="8" t="str">
        <x:v>Diamantino</x:v>
      </x:c>
      <x:c r="C307" s="8" t="str">
        <x:v>Santa Rita do Trivelato</x:v>
      </x:c>
      <x:c r="D307" s="8" t="n">
        <x:v>1</x:v>
      </x:c>
      <x:c r="E307" s="8" t="str">
        <x:v>ABACAXI PÉROLA</x:v>
      </x:c>
      <x:c r="F307" s="8" t="str">
        <x:v>ABACAXI PÉROLA, inteiro,</x:v>
      </x:c>
      <x:c r="G307" s="8" t="str">
        <x:v>Quilograma</x:v>
      </x:c>
      <x:c r="H307" s="11" t="n">
        <x:v>82</x:v>
      </x:c>
      <x:c r="I307" s="11" t="n">
        <x:v>14.75</x:v>
      </x:c>
      <x:c r="J307" s="11" t="n">
        <x:v>1209.5</x:v>
      </x:c>
      <x:c r="K307" s="11" t="n">
        <x:v>2</x:v>
      </x:c>
      <x:c r="L307" s="11" t="str">
        <x:v>Extração parcial do início da descrição; conferir unidade/descrição completa no PDF.</x:v>
      </x:c>
      <x:c r="M307" s="11" t="str">
        <x:v>DOC-0010</x:v>
      </x:c>
      <x:c r="N307" s="11" t="n">
        <x:f>H307*I307</x:f>
        <x:v>1209.5</x:v>
      </x:c>
      <x:c r="O307" s="11" t="n">
        <x:f>ROUND(N307-J307,2)</x:f>
        <x:v>0</x:v>
      </x:c>
    </x:row>
    <x:row r="308" ht="84" customHeight="1">
      <x:c r="A308" s="8" t="str">
        <x:v>ED-0010</x:v>
      </x:c>
      <x:c r="B308" s="8" t="str">
        <x:v>Diamantino</x:v>
      </x:c>
      <x:c r="C308" s="8" t="str">
        <x:v>Santa Rita do Trivelato</x:v>
      </x:c>
      <x:c r="D308" s="8" t="n">
        <x:v>2</x:v>
      </x:c>
      <x:c r="E308" s="8" t="str">
        <x:v>ABÓBORA CABOTIÃ</x:v>
      </x:c>
      <x:c r="F308" s="8" t="str">
        <x:v>ABÓBORA CABOTIÃ, inteira,</x:v>
      </x:c>
      <x:c r="G308" s="8" t="str">
        <x:v>Quilograma</x:v>
      </x:c>
      <x:c r="H308" s="11" t="n">
        <x:v>36</x:v>
      </x:c>
      <x:c r="I308" s="11" t="n">
        <x:v>6.49</x:v>
      </x:c>
      <x:c r="J308" s="11" t="n">
        <x:v>233.64</x:v>
      </x:c>
      <x:c r="K308" s="11" t="n">
        <x:v>3</x:v>
      </x:c>
      <x:c r="L308" s="11" t="str">
        <x:v>Extração parcial do início da descrição; conferir unidade/descrição completa no PDF.</x:v>
      </x:c>
      <x:c r="M308" s="11" t="str">
        <x:v>DOC-0010</x:v>
      </x:c>
      <x:c r="N308" s="11" t="n">
        <x:f>H308*I308</x:f>
        <x:v>233.64000000000001</x:v>
      </x:c>
      <x:c r="O308" s="11" t="n">
        <x:f>ROUND(N308-J308,2)</x:f>
        <x:v>0</x:v>
      </x:c>
    </x:row>
    <x:row r="309" ht="84" customHeight="1">
      <x:c r="A309" s="8" t="str">
        <x:v>ED-0010</x:v>
      </x:c>
      <x:c r="B309" s="8" t="str">
        <x:v>Diamantino</x:v>
      </x:c>
      <x:c r="C309" s="8" t="str">
        <x:v>Santa Rita do Trivelato</x:v>
      </x:c>
      <x:c r="D309" s="8" t="n">
        <x:v>3</x:v>
      </x:c>
      <x:c r="E309" s="8" t="str">
        <x:v>AÇAFRÃO</x:v>
      </x:c>
      <x:c r="F309" s="8" t="str">
        <x:v>AÇAFRÃO, torrado, em pó fino</x:v>
      </x:c>
      <x:c r="G309" s="8" t="str">
        <x:v>Unidade de</x:v>
      </x:c>
      <x:c r="H309" s="11" t="n">
        <x:v>27</x:v>
      </x:c>
      <x:c r="I309" s="11" t="n">
        <x:v>2.88</x:v>
      </x:c>
      <x:c r="J309" s="11" t="n">
        <x:v>77.76</x:v>
      </x:c>
      <x:c r="K309" s="11" t="n">
        <x:v>3</x:v>
      </x:c>
      <x:c r="L309" s="11" t="str">
        <x:v>Extração parcial do início da descrição; conferir unidade/descrição completa no PDF.</x:v>
      </x:c>
      <x:c r="M309" s="11" t="str">
        <x:v>DOC-0010</x:v>
      </x:c>
      <x:c r="N309" s="11" t="n">
        <x:f>H309*I309</x:f>
        <x:v>77.75999999999999</x:v>
      </x:c>
      <x:c r="O309" s="11" t="n">
        <x:f>ROUND(N309-J309,2)</x:f>
        <x:v>0</x:v>
      </x:c>
    </x:row>
    <x:row r="310" ht="84" customHeight="1">
      <x:c r="A310" s="8" t="str">
        <x:v>ED-0010</x:v>
      </x:c>
      <x:c r="B310" s="8" t="str">
        <x:v>Diamantino</x:v>
      </x:c>
      <x:c r="C310" s="8" t="str">
        <x:v>Santa Rita do Trivelato</x:v>
      </x:c>
      <x:c r="D310" s="8" t="n">
        <x:v>5</x:v>
      </x:c>
      <x:c r="E310" s="8" t="str">
        <x:v>AGRIÃO</x:v>
      </x:c>
      <x:c r="F310" s="8" t="str">
        <x:v>AGRIÃO, com folhas inteiras,</x:v>
      </x:c>
      <x:c r="G310" s="8" t="str">
        <x:v>Quilograma</x:v>
      </x:c>
      <x:c r="H310" s="11" t="n">
        <x:v>16</x:v>
      </x:c>
      <x:c r="I310" s="11" t="n">
        <x:v>39.95</x:v>
      </x:c>
      <x:c r="J310" s="11" t="n">
        <x:v>639.2</x:v>
      </x:c>
      <x:c r="K310" s="11" t="n">
        <x:v>4</x:v>
      </x:c>
      <x:c r="L310" s="11" t="str">
        <x:v>Extração parcial do início da descrição; conferir unidade/descrição completa no PDF.</x:v>
      </x:c>
      <x:c r="M310" s="11" t="str">
        <x:v>DOC-0010</x:v>
      </x:c>
      <x:c r="N310" s="11" t="n">
        <x:f>H310*I310</x:f>
        <x:v>639.2</x:v>
      </x:c>
      <x:c r="O310" s="11" t="n">
        <x:f>ROUND(N310-J310,2)</x:f>
        <x:v>0</x:v>
      </x:c>
    </x:row>
    <x:row r="311" ht="84" customHeight="1">
      <x:c r="A311" s="8" t="str">
        <x:v>ED-0010</x:v>
      </x:c>
      <x:c r="B311" s="8" t="str">
        <x:v>Diamantino</x:v>
      </x:c>
      <x:c r="C311" s="8" t="str">
        <x:v>Santa Rita do Trivelato</x:v>
      </x:c>
      <x:c r="D311" s="8" t="n">
        <x:v>6</x:v>
      </x:c>
      <x:c r="E311" s="8" t="str">
        <x:v>ALFACE CRESPA</x:v>
      </x:c>
      <x:c r="F311" s="8" t="str">
        <x:v>ALFACE CRESPA, com folhas</x:v>
      </x:c>
      <x:c r="G311" s="8" t="str">
        <x:v>Quilograma</x:v>
      </x:c>
      <x:c r="H311" s="11" t="n">
        <x:v>100</x:v>
      </x:c>
      <x:c r="I311" s="11" t="n">
        <x:v>30</x:v>
      </x:c>
      <x:c r="J311" s="11" t="n">
        <x:v>3000</x:v>
      </x:c>
      <x:c r="K311" s="11" t="n">
        <x:v>4</x:v>
      </x:c>
      <x:c r="L311" s="11" t="str">
        <x:v>Extração parcial do início da descrição; conferir unidade/descrição completa no PDF.</x:v>
      </x:c>
      <x:c r="M311" s="11" t="str">
        <x:v>DOC-0010</x:v>
      </x:c>
      <x:c r="N311" s="11" t="n">
        <x:f>H311*I311</x:f>
        <x:v>3000</x:v>
      </x:c>
      <x:c r="O311" s="11" t="n">
        <x:f>ROUND(N311-J311,2)</x:f>
        <x:v>0</x:v>
      </x:c>
    </x:row>
    <x:row r="312" ht="84" customHeight="1">
      <x:c r="A312" s="8" t="str">
        <x:v>ED-0010</x:v>
      </x:c>
      <x:c r="B312" s="8" t="str">
        <x:v>Diamantino</x:v>
      </x:c>
      <x:c r="C312" s="8" t="str">
        <x:v>Santa Rita do Trivelato</x:v>
      </x:c>
      <x:c r="D312" s="8" t="n">
        <x:v>7</x:v>
      </x:c>
      <x:c r="E312" s="8" t="str">
        <x:v>ALMEIRÃO</x:v>
      </x:c>
      <x:c r="F312" s="8" t="str">
        <x:v>ALMEIRÃO,           com      folhas</x:v>
      </x:c>
      <x:c r="G312" s="8" t="str">
        <x:v>Quilograma</x:v>
      </x:c>
      <x:c r="H312" s="11" t="n">
        <x:v>16</x:v>
      </x:c>
      <x:c r="I312" s="11" t="n">
        <x:v>29.36</x:v>
      </x:c>
      <x:c r="J312" s="11" t="n">
        <x:v>469.76</x:v>
      </x:c>
      <x:c r="K312" s="11" t="n">
        <x:v>4</x:v>
      </x:c>
      <x:c r="L312" s="11" t="str">
        <x:v>Extração parcial do início da descrição; conferir unidade/descrição completa no PDF.</x:v>
      </x:c>
      <x:c r="M312" s="11" t="str">
        <x:v>DOC-0010</x:v>
      </x:c>
      <x:c r="N312" s="11" t="n">
        <x:f>H312*I312</x:f>
        <x:v>469.76</x:v>
      </x:c>
      <x:c r="O312" s="11" t="n">
        <x:f>ROUND(N312-J312,2)</x:f>
        <x:v>0</x:v>
      </x:c>
    </x:row>
    <x:row r="313" ht="84" customHeight="1">
      <x:c r="A313" s="8" t="str">
        <x:v>ED-0010</x:v>
      </x:c>
      <x:c r="B313" s="8" t="str">
        <x:v>Diamantino</x:v>
      </x:c>
      <x:c r="C313" s="8" t="str">
        <x:v>Santa Rita do Trivelato</x:v>
      </x:c>
      <x:c r="D313" s="8" t="n">
        <x:v>8</x:v>
      </x:c>
      <x:c r="E313" s="8" t="str">
        <x:v>BANANA DA TERRA</x:v>
      </x:c>
      <x:c r="F313" s="8" t="str">
        <x:v>BANANA DA TERRA, inteira,</x:v>
      </x:c>
      <x:c r="G313" s="8" t="str">
        <x:v>Quilograma</x:v>
      </x:c>
      <x:c r="H313" s="11" t="n">
        <x:v>33</x:v>
      </x:c>
      <x:c r="I313" s="11" t="n">
        <x:v>14.49</x:v>
      </x:c>
      <x:c r="J313" s="11" t="n">
        <x:v>478.17</x:v>
      </x:c>
      <x:c r="K313" s="11" t="n">
        <x:v>5</x:v>
      </x:c>
      <x:c r="L313" s="11" t="str">
        <x:v>Extração parcial do início da descrição; conferir unidade/descrição completa no PDF.</x:v>
      </x:c>
      <x:c r="M313" s="11" t="str">
        <x:v>DOC-0010</x:v>
      </x:c>
      <x:c r="N313" s="11" t="n">
        <x:f>H313*I313</x:f>
        <x:v>478.17</x:v>
      </x:c>
      <x:c r="O313" s="11" t="n">
        <x:f>ROUND(N313-J313,2)</x:f>
        <x:v>0</x:v>
      </x:c>
    </x:row>
    <x:row r="314" ht="84" customHeight="1">
      <x:c r="A314" s="8" t="str">
        <x:v>ED-0010</x:v>
      </x:c>
      <x:c r="B314" s="8" t="str">
        <x:v>Diamantino</x:v>
      </x:c>
      <x:c r="C314" s="8" t="str">
        <x:v>Santa Rita do Trivelato</x:v>
      </x:c>
      <x:c r="D314" s="8" t="n">
        <x:v>10</x:v>
      </x:c>
      <x:c r="E314" s="8" t="str">
        <x:v>BATATA DOCE</x:v>
      </x:c>
      <x:c r="F314" s="8" t="str">
        <x:v>BATATA DOCE, inteira, livre</x:v>
      </x:c>
      <x:c r="G314" s="8" t="str">
        <x:v>Quilograma</x:v>
      </x:c>
      <x:c r="H314" s="11" t="n">
        <x:v>24</x:v>
      </x:c>
      <x:c r="I314" s="11" t="n">
        <x:v>7.69</x:v>
      </x:c>
      <x:c r="J314" s="11" t="n">
        <x:v>184.56</x:v>
      </x:c>
      <x:c r="K314" s="11" t="n">
        <x:v>6</x:v>
      </x:c>
      <x:c r="L314" s="11" t="str">
        <x:v>Extração parcial do início da descrição; conferir unidade/descrição completa no PDF.</x:v>
      </x:c>
      <x:c r="M314" s="11" t="str">
        <x:v>DOC-0010</x:v>
      </x:c>
      <x:c r="N314" s="11" t="n">
        <x:f>H314*I314</x:f>
        <x:v>184.56</x:v>
      </x:c>
      <x:c r="O314" s="11" t="n">
        <x:f>ROUND(N314-J314,2)</x:f>
        <x:v>0</x:v>
      </x:c>
    </x:row>
    <x:row r="315" ht="84" customHeight="1">
      <x:c r="A315" s="8" t="str">
        <x:v>ED-0010</x:v>
      </x:c>
      <x:c r="B315" s="8" t="str">
        <x:v>Diamantino</x:v>
      </x:c>
      <x:c r="C315" s="8" t="str">
        <x:v>Santa Rita do Trivelato</x:v>
      </x:c>
      <x:c r="D315" s="8" t="n">
        <x:v>12</x:v>
      </x:c>
      <x:c r="E315" s="8" t="str">
        <x:v>BEBIDA                  LÁCTEA</x:v>
      </x:c>
      <x:c r="F315" s="8" t="str">
        <x:v>BEBIDA                  LÁCTEA</x:v>
      </x:c>
      <x:c r="G315" s="8" t="str">
        <x:v>Unidade de</x:v>
      </x:c>
      <x:c r="H315" s="11" t="n">
        <x:v>54</x:v>
      </x:c>
      <x:c r="I315" s="11" t="n">
        <x:v>10.1</x:v>
      </x:c>
      <x:c r="J315" s="11" t="n">
        <x:v>545.4</x:v>
      </x:c>
      <x:c r="K315" s="11" t="n">
        <x:v>7</x:v>
      </x:c>
      <x:c r="L315" s="11" t="str">
        <x:v>Extração parcial do início da descrição; conferir unidade/descrição completa no PDF.</x:v>
      </x:c>
      <x:c r="M315" s="11" t="str">
        <x:v>DOC-0010</x:v>
      </x:c>
      <x:c r="N315" s="11" t="n">
        <x:f>H315*I315</x:f>
        <x:v>545.4</x:v>
      </x:c>
      <x:c r="O315" s="11" t="n">
        <x:f>ROUND(N315-J315,2)</x:f>
        <x:v>0</x:v>
      </x:c>
    </x:row>
    <x:row r="316" ht="84" customHeight="1">
      <x:c r="A316" s="8" t="str">
        <x:v>ED-0010</x:v>
      </x:c>
      <x:c r="B316" s="8" t="str">
        <x:v>Diamantino</x:v>
      </x:c>
      <x:c r="C316" s="8" t="str">
        <x:v>Santa Rita do Trivelato</x:v>
      </x:c>
      <x:c r="D316" s="8" t="n">
        <x:v>13</x:v>
      </x:c>
      <x:c r="E316" s="8" t="str">
        <x:v>BETERRABA</x:v>
      </x:c>
      <x:c r="F316" s="8" t="str">
        <x:v>BETERRABA, inteira, livre de</x:v>
      </x:c>
      <x:c r="G316" s="8" t="str">
        <x:v>Quilograma</x:v>
      </x:c>
      <x:c r="H316" s="11" t="n">
        <x:v>16</x:v>
      </x:c>
      <x:c r="I316" s="11" t="n">
        <x:v>5.51</x:v>
      </x:c>
      <x:c r="J316" s="11" t="n">
        <x:v>88.16</x:v>
      </x:c>
      <x:c r="K316" s="11" t="n">
        <x:v>7</x:v>
      </x:c>
      <x:c r="L316" s="11" t="str">
        <x:v>Extração parcial do início da descrição; conferir unidade/descrição completa no PDF.</x:v>
      </x:c>
      <x:c r="M316" s="11" t="str">
        <x:v>DOC-0010</x:v>
      </x:c>
      <x:c r="N316" s="11" t="n">
        <x:f>H316*I316</x:f>
        <x:v>88.16</x:v>
      </x:c>
      <x:c r="O316" s="11" t="n">
        <x:f>ROUND(N316-J316,2)</x:f>
        <x:v>0</x:v>
      </x:c>
    </x:row>
    <x:row r="317" ht="84" customHeight="1">
      <x:c r="A317" s="8" t="str">
        <x:v>ED-0010</x:v>
      </x:c>
      <x:c r="B317" s="8" t="str">
        <x:v>Diamantino</x:v>
      </x:c>
      <x:c r="C317" s="8" t="str">
        <x:v>Santa Rita do Trivelato</x:v>
      </x:c>
      <x:c r="D317" s="8" t="n">
        <x:v>14</x:v>
      </x:c>
      <x:c r="E317" s="8" t="str">
        <x:v>CAFÉ TORRADO E MOÍDO</x:v>
      </x:c>
      <x:c r="F317" s="8" t="str">
        <x:v>CAFÉ TORRADO E MOÍDO,</x:v>
      </x:c>
      <x:c r="G317" s="8" t="str">
        <x:v>Unidade de</x:v>
      </x:c>
      <x:c r="H317" s="11" t="n">
        <x:v>65</x:v>
      </x:c>
      <x:c r="I317" s="11" t="n">
        <x:v>23.32</x:v>
      </x:c>
      <x:c r="J317" s="11" t="n">
        <x:v>1515.8</x:v>
      </x:c>
      <x:c r="K317" s="11" t="n">
        <x:v>7</x:v>
      </x:c>
      <x:c r="L317" s="11" t="str">
        <x:v>Extração parcial do início da descrição; conferir unidade/descrição completa no PDF.</x:v>
      </x:c>
      <x:c r="M317" s="11" t="str">
        <x:v>DOC-0010</x:v>
      </x:c>
      <x:c r="N317" s="11" t="n">
        <x:f>H317*I317</x:f>
        <x:v>1515.8</x:v>
      </x:c>
      <x:c r="O317" s="11" t="n">
        <x:f>ROUND(N317-J317,2)</x:f>
        <x:v>0</x:v>
      </x:c>
    </x:row>
    <x:row r="318" ht="84" customHeight="1">
      <x:c r="A318" s="8" t="str">
        <x:v>ED-0010</x:v>
      </x:c>
      <x:c r="B318" s="8" t="str">
        <x:v>Diamantino</x:v>
      </x:c>
      <x:c r="C318" s="8" t="str">
        <x:v>Santa Rita do Trivelato</x:v>
      </x:c>
      <x:c r="D318" s="8" t="n">
        <x:v>15</x:v>
      </x:c>
      <x:c r="E318" s="8" t="str">
        <x:v>CEBOLINHA</x:v>
      </x:c>
      <x:c r="F318" s="8" t="str">
        <x:v>CEBOLINHA, verde, com</x:v>
      </x:c>
      <x:c r="G318" s="8" t="str">
        <x:v>Quilograma</x:v>
      </x:c>
      <x:c r="H318" s="11" t="n">
        <x:v>33</x:v>
      </x:c>
      <x:c r="I318" s="11" t="n">
        <x:v>40</x:v>
      </x:c>
      <x:c r="J318" s="11" t="n">
        <x:v>1320</x:v>
      </x:c>
      <x:c r="K318" s="11" t="n">
        <x:v>8</x:v>
      </x:c>
      <x:c r="L318" s="11" t="str">
        <x:v>Extração parcial do início da descrição; conferir unidade/descrição completa no PDF.</x:v>
      </x:c>
      <x:c r="M318" s="11" t="str">
        <x:v>DOC-0010</x:v>
      </x:c>
      <x:c r="N318" s="11" t="n">
        <x:f>H318*I318</x:f>
        <x:v>1320</x:v>
      </x:c>
      <x:c r="O318" s="11" t="n">
        <x:f>ROUND(N318-J318,2)</x:f>
        <x:v>0</x:v>
      </x:c>
    </x:row>
    <x:row r="319" ht="84" customHeight="1">
      <x:c r="A319" s="8" t="str">
        <x:v>ED-0010</x:v>
      </x:c>
      <x:c r="B319" s="8" t="str">
        <x:v>Diamantino</x:v>
      </x:c>
      <x:c r="C319" s="8" t="str">
        <x:v>Santa Rita do Trivelato</x:v>
      </x:c>
      <x:c r="D319" s="8" t="n">
        <x:v>16</x:v>
      </x:c>
      <x:c r="E319" s="8" t="str">
        <x:v>CENOURA</x:v>
      </x:c>
      <x:c r="F319" s="8" t="str">
        <x:v>CENOURA, inteira, livre de</x:v>
      </x:c>
      <x:c r="G319" s="8" t="str">
        <x:v>Quilograma</x:v>
      </x:c>
      <x:c r="H319" s="11" t="n">
        <x:v>103</x:v>
      </x:c>
      <x:c r="I319" s="11" t="n">
        <x:v>8.5</x:v>
      </x:c>
      <x:c r="J319" s="11" t="n">
        <x:v>875.5</x:v>
      </x:c>
      <x:c r="K319" s="11" t="n">
        <x:v>8</x:v>
      </x:c>
      <x:c r="L319" s="11" t="str">
        <x:v>Extração parcial do início da descrição; conferir unidade/descrição completa no PDF.</x:v>
      </x:c>
      <x:c r="M319" s="11" t="str">
        <x:v>DOC-0010</x:v>
      </x:c>
      <x:c r="N319" s="11" t="n">
        <x:f>H319*I319</x:f>
        <x:v>875.5</x:v>
      </x:c>
      <x:c r="O319" s="11" t="n">
        <x:f>ROUND(N319-J319,2)</x:f>
        <x:v>0</x:v>
      </x:c>
    </x:row>
    <x:row r="320" ht="84" customHeight="1">
      <x:c r="A320" s="8" t="str">
        <x:v>ED-0010</x:v>
      </x:c>
      <x:c r="B320" s="8" t="str">
        <x:v>Diamantino</x:v>
      </x:c>
      <x:c r="C320" s="8" t="str">
        <x:v>Santa Rita do Trivelato</x:v>
      </x:c>
      <x:c r="D320" s="8" t="n">
        <x:v>17</x:v>
      </x:c>
      <x:c r="E320" s="8" t="str">
        <x:v>COENTRO</x:v>
      </x:c>
      <x:c r="F320" s="8" t="str">
        <x:v>COENTRO, com talos e folhas</x:v>
      </x:c>
      <x:c r="G320" s="8" t="str">
        <x:v>Quilograma</x:v>
      </x:c>
      <x:c r="H320" s="11" t="n">
        <x:v>3</x:v>
      </x:c>
      <x:c r="I320" s="11" t="n">
        <x:v>40</x:v>
      </x:c>
      <x:c r="J320" s="11" t="n">
        <x:v>120</x:v>
      </x:c>
      <x:c r="K320" s="11" t="n">
        <x:v>9</x:v>
      </x:c>
      <x:c r="L320" s="11" t="str">
        <x:v>Extração parcial do início da descrição; conferir unidade/descrição completa no PDF.</x:v>
      </x:c>
      <x:c r="M320" s="11" t="str">
        <x:v>DOC-0010</x:v>
      </x:c>
      <x:c r="N320" s="11" t="n">
        <x:f>H320*I320</x:f>
        <x:v>120</x:v>
      </x:c>
      <x:c r="O320" s="11" t="n">
        <x:f>ROUND(N320-J320,2)</x:f>
        <x:v>0</x:v>
      </x:c>
    </x:row>
    <x:row r="321" ht="84" customHeight="1">
      <x:c r="A321" s="8" t="str">
        <x:v>ED-0010</x:v>
      </x:c>
      <x:c r="B321" s="8" t="str">
        <x:v>Diamantino</x:v>
      </x:c>
      <x:c r="C321" s="8" t="str">
        <x:v>Santa Rita do Trivelato</x:v>
      </x:c>
      <x:c r="D321" s="8" t="n">
        <x:v>18</x:v>
      </x:c>
      <x:c r="E321" s="8" t="str">
        <x:v>COLORAU</x:v>
      </x:c>
      <x:c r="F321" s="8" t="str">
        <x:v>COLORAU, corante, natural de</x:v>
      </x:c>
      <x:c r="G321" s="8" t="str">
        <x:v>Unidade de</x:v>
      </x:c>
      <x:c r="H321" s="11" t="n">
        <x:v>234</x:v>
      </x:c>
      <x:c r="I321" s="11" t="n">
        <x:v>4.09</x:v>
      </x:c>
      <x:c r="J321" s="11" t="n">
        <x:v>957.06</x:v>
      </x:c>
      <x:c r="K321" s="11" t="n">
        <x:v>9</x:v>
      </x:c>
      <x:c r="L321" s="11" t="str">
        <x:v>Extração parcial do início da descrição; conferir unidade/descrição completa no PDF.</x:v>
      </x:c>
      <x:c r="M321" s="11" t="str">
        <x:v>DOC-0010</x:v>
      </x:c>
      <x:c r="N321" s="11" t="n">
        <x:f>H321*I321</x:f>
        <x:v>957.06</x:v>
      </x:c>
      <x:c r="O321" s="11" t="n">
        <x:f>ROUND(N321-J321,2)</x:f>
        <x:v>0</x:v>
      </x:c>
    </x:row>
    <x:row r="322" ht="84" customHeight="1">
      <x:c r="A322" s="8" t="str">
        <x:v>ED-0010</x:v>
      </x:c>
      <x:c r="B322" s="8" t="str">
        <x:v>Diamantino</x:v>
      </x:c>
      <x:c r="C322" s="8" t="str">
        <x:v>Santa Rita do Trivelato</x:v>
      </x:c>
      <x:c r="D322" s="8" t="n">
        <x:v>19</x:v>
      </x:c>
      <x:c r="E322" s="8" t="str">
        <x:v>COUVE</x:v>
      </x:c>
      <x:c r="F322" s="8" t="str">
        <x:v>COUVE, manteiga com folhas</x:v>
      </x:c>
      <x:c r="G322" s="8" t="str">
        <x:v>Quilograma</x:v>
      </x:c>
      <x:c r="H322" s="11" t="n">
        <x:v>98</x:v>
      </x:c>
      <x:c r="I322" s="11" t="n">
        <x:v>35</x:v>
      </x:c>
      <x:c r="J322" s="11" t="n">
        <x:v>3430</x:v>
      </x:c>
      <x:c r="K322" s="11" t="n">
        <x:v>9</x:v>
      </x:c>
      <x:c r="L322" s="11" t="str">
        <x:v>Extração parcial do início da descrição; conferir unidade/descrição completa no PDF.</x:v>
      </x:c>
      <x:c r="M322" s="11" t="str">
        <x:v>DOC-0010</x:v>
      </x:c>
      <x:c r="N322" s="11" t="n">
        <x:f>H322*I322</x:f>
        <x:v>3430</x:v>
      </x:c>
      <x:c r="O322" s="11" t="n">
        <x:f>ROUND(N322-J322,2)</x:f>
        <x:v>0</x:v>
      </x:c>
    </x:row>
    <x:row r="323" ht="84" customHeight="1">
      <x:c r="A323" s="8" t="str">
        <x:v>ED-0010</x:v>
      </x:c>
      <x:c r="B323" s="8" t="str">
        <x:v>Diamantino</x:v>
      </x:c>
      <x:c r="C323" s="8" t="str">
        <x:v>Santa Rita do Trivelato</x:v>
      </x:c>
      <x:c r="D323" s="8" t="n">
        <x:v>20</x:v>
      </x:c>
      <x:c r="E323" s="8" t="str">
        <x:v>FARINHA DE MANDIOCA</x:v>
      </x:c>
      <x:c r="F323" s="8" t="str">
        <x:v>FARINHA DE MANDIOCA,</x:v>
      </x:c>
      <x:c r="G323" s="8" t="str">
        <x:v>Unidade de</x:v>
      </x:c>
      <x:c r="H323" s="11" t="n">
        <x:v>47</x:v>
      </x:c>
      <x:c r="I323" s="11" t="n">
        <x:v>9.51</x:v>
      </x:c>
      <x:c r="J323" s="11" t="n">
        <x:v>446.97</x:v>
      </x:c>
      <x:c r="K323" s="11" t="n">
        <x:v>10</x:v>
      </x:c>
      <x:c r="L323" s="11" t="str">
        <x:v>Extração parcial do início da descrição; conferir unidade/descrição completa no PDF.</x:v>
      </x:c>
      <x:c r="M323" s="11" t="str">
        <x:v>DOC-0010</x:v>
      </x:c>
      <x:c r="N323" s="11" t="n">
        <x:f>H323*I323</x:f>
        <x:v>446.96999999999997</x:v>
      </x:c>
      <x:c r="O323" s="11" t="n">
        <x:f>ROUND(N323-J323,2)</x:f>
        <x:v>0</x:v>
      </x:c>
    </x:row>
    <x:row r="324" ht="84" customHeight="1">
      <x:c r="A324" s="8" t="str">
        <x:v>ED-0010</x:v>
      </x:c>
      <x:c r="B324" s="8" t="str">
        <x:v>Diamantino</x:v>
      </x:c>
      <x:c r="C324" s="8" t="str">
        <x:v>Santa Rita do Trivelato</x:v>
      </x:c>
      <x:c r="D324" s="8" t="n">
        <x:v>21</x:v>
      </x:c>
      <x:c r="E324" s="8" t="str">
        <x:v>INHAME</x:v>
      </x:c>
      <x:c r="F324" s="8" t="str">
        <x:v>INHAME, in natura, tamanho e</x:v>
      </x:c>
      <x:c r="G324" s="8" t="str">
        <x:v>Quilograma</x:v>
      </x:c>
      <x:c r="H324" s="11" t="n">
        <x:v>20</x:v>
      </x:c>
      <x:c r="I324" s="11" t="n">
        <x:v>18.75</x:v>
      </x:c>
      <x:c r="J324" s="11" t="n">
        <x:v>375</x:v>
      </x:c>
      <x:c r="K324" s="11" t="n">
        <x:v>10</x:v>
      </x:c>
      <x:c r="L324" s="11" t="str">
        <x:v>Extração parcial do início da descrição; conferir unidade/descrição completa no PDF.</x:v>
      </x:c>
      <x:c r="M324" s="11" t="str">
        <x:v>DOC-0010</x:v>
      </x:c>
      <x:c r="N324" s="11" t="n">
        <x:f>H324*I324</x:f>
        <x:v>375</x:v>
      </x:c>
      <x:c r="O324" s="11" t="n">
        <x:f>ROUND(N324-J324,2)</x:f>
        <x:v>0</x:v>
      </x:c>
    </x:row>
    <x:row r="325" ht="84" customHeight="1">
      <x:c r="A325" s="8" t="str">
        <x:v>ED-0010</x:v>
      </x:c>
      <x:c r="B325" s="8" t="str">
        <x:v>Diamantino</x:v>
      </x:c>
      <x:c r="C325" s="8" t="str">
        <x:v>Santa Rita do Trivelato</x:v>
      </x:c>
      <x:c r="D325" s="8" t="n">
        <x:v>22</x:v>
      </x:c>
      <x:c r="E325" s="8" t="str">
        <x:v>LARANJA PÊRA</x:v>
      </x:c>
      <x:c r="F325" s="8" t="str">
        <x:v>LARANJA PÊRA, inteira, livre</x:v>
      </x:c>
      <x:c r="G325" s="8" t="str">
        <x:v>Quilograma</x:v>
      </x:c>
      <x:c r="H325" s="11" t="n">
        <x:v>181</x:v>
      </x:c>
      <x:c r="I325" s="11" t="n">
        <x:v>9.99</x:v>
      </x:c>
      <x:c r="J325" s="11" t="n">
        <x:v>1808.19</x:v>
      </x:c>
      <x:c r="K325" s="11" t="n">
        <x:v>10</x:v>
      </x:c>
      <x:c r="L325" s="11" t="str">
        <x:v>Extração parcial do início da descrição; conferir unidade/descrição completa no PDF.</x:v>
      </x:c>
      <x:c r="M325" s="11" t="str">
        <x:v>DOC-0010</x:v>
      </x:c>
      <x:c r="N325" s="11" t="n">
        <x:f>H325*I325</x:f>
        <x:v>1808.19</x:v>
      </x:c>
      <x:c r="O325" s="11" t="n">
        <x:f>ROUND(N325-J325,2)</x:f>
        <x:v>0</x:v>
      </x:c>
    </x:row>
    <x:row r="326" ht="84" customHeight="1">
      <x:c r="A326" s="8" t="str">
        <x:v>ED-0010</x:v>
      </x:c>
      <x:c r="B326" s="8" t="str">
        <x:v>Diamantino</x:v>
      </x:c>
      <x:c r="C326" s="8" t="str">
        <x:v>Santa Rita do Trivelato</x:v>
      </x:c>
      <x:c r="D326" s="8" t="n">
        <x:v>23</x:v>
      </x:c>
      <x:c r="E326" s="8" t="str">
        <x:v>LEITE          PASTEURIZADO</x:v>
      </x:c>
      <x:c r="F326" s="8" t="str">
        <x:v>LEITE          PASTEURIZADO</x:v>
      </x:c>
      <x:c r="G326" s="8" t="str">
        <x:v>Unidade de</x:v>
      </x:c>
      <x:c r="H326" s="11" t="n">
        <x:v>963</x:v>
      </x:c>
      <x:c r="I326" s="11" t="n">
        <x:v>7.2</x:v>
      </x:c>
      <x:c r="J326" s="11" t="n">
        <x:v>6933.6</x:v>
      </x:c>
      <x:c r="K326" s="11" t="n">
        <x:v>11</x:v>
      </x:c>
      <x:c r="L326" s="11" t="str">
        <x:v>Extração parcial do início da descrição; conferir unidade/descrição completa no PDF.</x:v>
      </x:c>
      <x:c r="M326" s="11" t="str">
        <x:v>DOC-0010</x:v>
      </x:c>
      <x:c r="N326" s="11" t="n">
        <x:f>H326*I326</x:f>
        <x:v>6933.6</x:v>
      </x:c>
      <x:c r="O326" s="11" t="n">
        <x:f>ROUND(N326-J326,2)</x:f>
        <x:v>0</x:v>
      </x:c>
    </x:row>
    <x:row r="327" ht="84" customHeight="1">
      <x:c r="A327" s="8" t="str">
        <x:v>ED-0010</x:v>
      </x:c>
      <x:c r="B327" s="8" t="str">
        <x:v>Diamantino</x:v>
      </x:c>
      <x:c r="C327" s="8" t="str">
        <x:v>Santa Rita do Trivelato</x:v>
      </x:c>
      <x:c r="D327" s="8" t="n">
        <x:v>24</x:v>
      </x:c>
      <x:c r="E327" s="8" t="str">
        <x:v>LIMÃO TAHITI</x:v>
      </x:c>
      <x:c r="F327" s="8" t="str">
        <x:v>LIMÃO TAHITI, inteiro, livre</x:v>
      </x:c>
      <x:c r="G327" s="8" t="str">
        <x:v>Quilograma</x:v>
      </x:c>
      <x:c r="H327" s="11" t="n">
        <x:v>20</x:v>
      </x:c>
      <x:c r="I327" s="11" t="n">
        <x:v>11.28</x:v>
      </x:c>
      <x:c r="J327" s="11" t="n">
        <x:v>225.6</x:v>
      </x:c>
      <x:c r="K327" s="11" t="n">
        <x:v>11</x:v>
      </x:c>
      <x:c r="L327" s="11" t="str">
        <x:v>Extração parcial do início da descrição; conferir unidade/descrição completa no PDF.</x:v>
      </x:c>
      <x:c r="M327" s="11" t="str">
        <x:v>DOC-0010</x:v>
      </x:c>
      <x:c r="N327" s="11" t="n">
        <x:f>H327*I327</x:f>
        <x:v>225.6</x:v>
      </x:c>
      <x:c r="O327" s="11" t="n">
        <x:f>ROUND(N327-J327,2)</x:f>
        <x:v>0</x:v>
      </x:c>
    </x:row>
    <x:row r="328" ht="84" customHeight="1">
      <x:c r="A328" s="8" t="str">
        <x:v>ED-0010</x:v>
      </x:c>
      <x:c r="B328" s="8" t="str">
        <x:v>Diamantino</x:v>
      </x:c>
      <x:c r="C328" s="8" t="str">
        <x:v>Santa Rita do Trivelato</x:v>
      </x:c>
      <x:c r="D328" s="8" t="n">
        <x:v>25</x:v>
      </x:c>
      <x:c r="E328" s="8" t="str">
        <x:v>MAMÃO FORMOSA</x:v>
      </x:c>
      <x:c r="F328" s="8" t="str">
        <x:v>MAMÃO FORMOSA, livre de</x:v>
      </x:c>
      <x:c r="G328" s="8" t="str">
        <x:v>Quilograma</x:v>
      </x:c>
      <x:c r="H328" s="11" t="n">
        <x:v>36</x:v>
      </x:c>
      <x:c r="I328" s="11" t="n">
        <x:v>10.34</x:v>
      </x:c>
      <x:c r="J328" s="11" t="n">
        <x:v>372.24</x:v>
      </x:c>
      <x:c r="K328" s="11" t="n">
        <x:v>12</x:v>
      </x:c>
      <x:c r="L328" s="11" t="str">
        <x:v>Extração parcial do início da descrição; conferir unidade/descrição completa no PDF.</x:v>
      </x:c>
      <x:c r="M328" s="11" t="str">
        <x:v>DOC-0010</x:v>
      </x:c>
      <x:c r="N328" s="11" t="n">
        <x:f>H328*I328</x:f>
        <x:v>372.24</x:v>
      </x:c>
      <x:c r="O328" s="11" t="n">
        <x:f>ROUND(N328-J328,2)</x:f>
        <x:v>0</x:v>
      </x:c>
    </x:row>
    <x:row r="329" ht="84" customHeight="1">
      <x:c r="A329" s="8" t="str">
        <x:v>ED-0010</x:v>
      </x:c>
      <x:c r="B329" s="8" t="str">
        <x:v>Diamantino</x:v>
      </x:c>
      <x:c r="C329" s="8" t="str">
        <x:v>Santa Rita do Trivelato</x:v>
      </x:c>
      <x:c r="D329" s="8" t="n">
        <x:v>26</x:v>
      </x:c>
      <x:c r="E329" s="8" t="str">
        <x:v>MANDIOCA DESCASCADA</x:v>
      </x:c>
      <x:c r="F329" s="8" t="str">
        <x:v>MANDIOCA DESCASCADA</x:v>
      </x:c>
      <x:c r="G329" s="8" t="str">
        <x:v>Unidade de</x:v>
      </x:c>
      <x:c r="H329" s="11" t="n">
        <x:v>66</x:v>
      </x:c>
      <x:c r="I329" s="11" t="n">
        <x:v>14.27</x:v>
      </x:c>
      <x:c r="J329" s="11" t="n">
        <x:v>941.82</x:v>
      </x:c>
      <x:c r="K329" s="11" t="n">
        <x:v>12</x:v>
      </x:c>
      <x:c r="L329" s="11" t="str">
        <x:v>Extração parcial do início da descrição; conferir unidade/descrição completa no PDF.</x:v>
      </x:c>
      <x:c r="M329" s="11" t="str">
        <x:v>DOC-0010</x:v>
      </x:c>
      <x:c r="N329" s="11" t="n">
        <x:f>H329*I329</x:f>
        <x:v>941.8199999999999</x:v>
      </x:c>
      <x:c r="O329" s="11" t="n">
        <x:f>ROUND(N329-J329,2)</x:f>
        <x:v>0</x:v>
      </x:c>
    </x:row>
    <x:row r="330" ht="84" customHeight="1">
      <x:c r="A330" s="8" t="str">
        <x:v>ED-0010</x:v>
      </x:c>
      <x:c r="B330" s="8" t="str">
        <x:v>Diamantino</x:v>
      </x:c>
      <x:c r="C330" s="8" t="str">
        <x:v>Santa Rita do Trivelato</x:v>
      </x:c>
      <x:c r="D330" s="8" t="n">
        <x:v>27</x:v>
      </x:c>
      <x:c r="E330" s="8" t="str">
        <x:v>MANTEIGA PURA COM</x:v>
      </x:c>
      <x:c r="F330" s="8" t="str">
        <x:v>MANTEIGA PURA COM</x:v>
      </x:c>
      <x:c r="G330" s="8" t="str">
        <x:v>Unidade de</x:v>
      </x:c>
      <x:c r="H330" s="11" t="n">
        <x:v>86</x:v>
      </x:c>
      <x:c r="I330" s="11" t="n">
        <x:v>40</x:v>
      </x:c>
      <x:c r="J330" s="11" t="n">
        <x:v>3440</x:v>
      </x:c>
      <x:c r="K330" s="11" t="n">
        <x:v>13</x:v>
      </x:c>
      <x:c r="L330" s="11" t="str">
        <x:v>Extração parcial do início da descrição; conferir unidade/descrição completa no PDF.</x:v>
      </x:c>
      <x:c r="M330" s="11" t="str">
        <x:v>DOC-0010</x:v>
      </x:c>
      <x:c r="N330" s="11" t="n">
        <x:f>H330*I330</x:f>
        <x:v>3440</x:v>
      </x:c>
      <x:c r="O330" s="11" t="n">
        <x:f>ROUND(N330-J330,2)</x:f>
        <x:v>0</x:v>
      </x:c>
    </x:row>
    <x:row r="331" ht="84" customHeight="1">
      <x:c r="A331" s="8" t="str">
        <x:v>ED-0010</x:v>
      </x:c>
      <x:c r="B331" s="8" t="str">
        <x:v>Diamantino</x:v>
      </x:c>
      <x:c r="C331" s="8" t="str">
        <x:v>Santa Rita do Trivelato</x:v>
      </x:c>
      <x:c r="D331" s="8" t="n">
        <x:v>28</x:v>
      </x:c>
      <x:c r="E331" s="8" t="str">
        <x:v>MELANCIA</x:v>
      </x:c>
      <x:c r="F331" s="8" t="str">
        <x:v>MELANCIA, inteira, livre de</x:v>
      </x:c>
      <x:c r="G331" s="8" t="str">
        <x:v>Quilograma</x:v>
      </x:c>
      <x:c r="H331" s="11" t="n">
        <x:v>82</x:v>
      </x:c>
      <x:c r="I331" s="11" t="n">
        <x:v>5.49</x:v>
      </x:c>
      <x:c r="J331" s="11" t="n">
        <x:v>450.18</x:v>
      </x:c>
      <x:c r="K331" s="11" t="n">
        <x:v>13</x:v>
      </x:c>
      <x:c r="L331" s="11" t="str">
        <x:v>Extração parcial do início da descrição; conferir unidade/descrição completa no PDF.</x:v>
      </x:c>
      <x:c r="M331" s="11" t="str">
        <x:v>DOC-0010</x:v>
      </x:c>
      <x:c r="N331" s="11" t="n">
        <x:f>H331*I331</x:f>
        <x:v>450.18</x:v>
      </x:c>
      <x:c r="O331" s="11" t="n">
        <x:f>ROUND(N331-J331,2)</x:f>
        <x:v>0</x:v>
      </x:c>
    </x:row>
    <x:row r="332" ht="84" customHeight="1">
      <x:c r="A332" s="8" t="str">
        <x:v>ED-0010</x:v>
      </x:c>
      <x:c r="B332" s="8" t="str">
        <x:v>Diamantino</x:v>
      </x:c>
      <x:c r="C332" s="8" t="str">
        <x:v>Santa Rita do Trivelato</x:v>
      </x:c>
      <x:c r="D332" s="8" t="n">
        <x:v>30</x:v>
      </x:c>
      <x:c r="E332" s="8" t="str">
        <x:v>PÃO CASEIRO</x:v>
      </x:c>
      <x:c r="F332" s="8" t="str">
        <x:v>PÃO CASEIRO, de boa</x:v>
      </x:c>
      <x:c r="G332" s="8" t="str">
        <x:v>Quilograma</x:v>
      </x:c>
      <x:c r="H332" s="11" t="n">
        <x:v>131</x:v>
      </x:c>
      <x:c r="I332" s="11" t="n">
        <x:v>26</x:v>
      </x:c>
      <x:c r="J332" s="11" t="n">
        <x:v>3406</x:v>
      </x:c>
      <x:c r="K332" s="11" t="n">
        <x:v>14</x:v>
      </x:c>
      <x:c r="L332" s="11" t="str">
        <x:v>Extração parcial do início da descrição; conferir unidade/descrição completa no PDF.</x:v>
      </x:c>
      <x:c r="M332" s="11" t="str">
        <x:v>DOC-0010</x:v>
      </x:c>
      <x:c r="N332" s="11" t="n">
        <x:f>H332*I332</x:f>
        <x:v>3406</x:v>
      </x:c>
      <x:c r="O332" s="11" t="n">
        <x:f>ROUND(N332-J332,2)</x:f>
        <x:v>0</x:v>
      </x:c>
    </x:row>
    <x:row r="333" ht="84" customHeight="1">
      <x:c r="A333" s="8" t="str">
        <x:v>ED-0010</x:v>
      </x:c>
      <x:c r="B333" s="8" t="str">
        <x:v>Diamantino</x:v>
      </x:c>
      <x:c r="C333" s="8" t="str">
        <x:v>Santa Rita do Trivelato</x:v>
      </x:c>
      <x:c r="D333" s="8" t="n">
        <x:v>31</x:v>
      </x:c>
      <x:c r="E333" s="8" t="str">
        <x:v>PEIXE PINTADO FILÉ</x:v>
      </x:c>
      <x:c r="F333" s="8" t="str">
        <x:v>PEIXE PINTADO FILÉ, de</x:v>
      </x:c>
      <x:c r="G333" s="8" t="str">
        <x:v>Unidade de</x:v>
      </x:c>
      <x:c r="H333" s="11" t="n">
        <x:v>74</x:v>
      </x:c>
      <x:c r="I333" s="11" t="n">
        <x:v>74</x:v>
      </x:c>
      <x:c r="J333" s="11" t="n">
        <x:v>5476</x:v>
      </x:c>
      <x:c r="K333" s="11" t="n">
        <x:v>14</x:v>
      </x:c>
      <x:c r="L333" s="11" t="str">
        <x:v>Extração parcial do início da descrição; conferir unidade/descrição completa no PDF.</x:v>
      </x:c>
      <x:c r="M333" s="11" t="str">
        <x:v>DOC-0010</x:v>
      </x:c>
      <x:c r="N333" s="11" t="n">
        <x:f>H333*I333</x:f>
        <x:v>5476</x:v>
      </x:c>
      <x:c r="O333" s="11" t="n">
        <x:f>ROUND(N333-J333,2)</x:f>
        <x:v>0</x:v>
      </x:c>
    </x:row>
    <x:row r="334" ht="84" customHeight="1">
      <x:c r="A334" s="8" t="str">
        <x:v>ED-0010</x:v>
      </x:c>
      <x:c r="B334" s="8" t="str">
        <x:v>Diamantino</x:v>
      </x:c>
      <x:c r="C334" s="8" t="str">
        <x:v>Santa Rita do Trivelato</x:v>
      </x:c>
      <x:c r="D334" s="8" t="n">
        <x:v>32</x:v>
      </x:c>
      <x:c r="E334" s="8" t="str">
        <x:v>PEPINO</x:v>
      </x:c>
      <x:c r="F334" s="8" t="str">
        <x:v>PEPINO, inteiro, livre de</x:v>
      </x:c>
      <x:c r="G334" s="8" t="str">
        <x:v>Quilograma</x:v>
      </x:c>
      <x:c r="H334" s="11" t="n">
        <x:v>20</x:v>
      </x:c>
      <x:c r="I334" s="11" t="n">
        <x:v>7.69</x:v>
      </x:c>
      <x:c r="J334" s="11" t="n">
        <x:v>153.8</x:v>
      </x:c>
      <x:c r="K334" s="11" t="n">
        <x:v>15</x:v>
      </x:c>
      <x:c r="L334" s="11" t="str">
        <x:v>Extração parcial do início da descrição; conferir unidade/descrição completa no PDF.</x:v>
      </x:c>
      <x:c r="M334" s="11" t="str">
        <x:v>DOC-0010</x:v>
      </x:c>
      <x:c r="N334" s="11" t="n">
        <x:f>H334*I334</x:f>
        <x:v>153.8</x:v>
      </x:c>
      <x:c r="O334" s="11" t="n">
        <x:f>ROUND(N334-J334,2)</x:f>
        <x:v>0</x:v>
      </x:c>
    </x:row>
    <x:row r="335" ht="84" customHeight="1">
      <x:c r="A335" s="8" t="str">
        <x:v>ED-0010</x:v>
      </x:c>
      <x:c r="B335" s="8" t="str">
        <x:v>Diamantino</x:v>
      </x:c>
      <x:c r="C335" s="8" t="str">
        <x:v>Santa Rita do Trivelato</x:v>
      </x:c>
      <x:c r="D335" s="8" t="n">
        <x:v>33</x:v>
      </x:c>
      <x:c r="E335" s="8" t="str">
        <x:v>PIMENTA          DE     CHEIRO</x:v>
      </x:c>
      <x:c r="F335" s="8" t="str">
        <x:v>PIMENTA          DE     CHEIRO,</x:v>
      </x:c>
      <x:c r="G335" s="8" t="str">
        <x:v>Quilograma</x:v>
      </x:c>
      <x:c r="H335" s="11" t="n">
        <x:v>7</x:v>
      </x:c>
      <x:c r="I335" s="11" t="n">
        <x:v>36.77</x:v>
      </x:c>
      <x:c r="J335" s="11" t="n">
        <x:v>257.39</x:v>
      </x:c>
      <x:c r="K335" s="11" t="n">
        <x:v>15</x:v>
      </x:c>
      <x:c r="L335" s="11" t="str">
        <x:v>Extração parcial do início da descrição; conferir unidade/descrição completa no PDF.</x:v>
      </x:c>
      <x:c r="M335" s="11" t="str">
        <x:v>DOC-0010</x:v>
      </x:c>
      <x:c r="N335" s="11" t="n">
        <x:f>H335*I335</x:f>
        <x:v>257.39000000000004</x:v>
      </x:c>
      <x:c r="O335" s="11" t="n">
        <x:f>ROUND(N335-J335,2)</x:f>
        <x:v>0</x:v>
      </x:c>
    </x:row>
    <x:row r="336" ht="84" customHeight="1">
      <x:c r="A336" s="8" t="str">
        <x:v>ED-0010</x:v>
      </x:c>
      <x:c r="B336" s="8" t="str">
        <x:v>Diamantino</x:v>
      </x:c>
      <x:c r="C336" s="8" t="str">
        <x:v>Santa Rita do Trivelato</x:v>
      </x:c>
      <x:c r="D336" s="8" t="n">
        <x:v>34</x:v>
      </x:c>
      <x:c r="E336" s="8" t="str">
        <x:v>PIMENTÃO VERDE</x:v>
      </x:c>
      <x:c r="F336" s="8" t="str">
        <x:v>PIMENTÃO VERDE, inteiro,</x:v>
      </x:c>
      <x:c r="G336" s="8" t="str">
        <x:v>Quilograma</x:v>
      </x:c>
      <x:c r="H336" s="11" t="n">
        <x:v>5</x:v>
      </x:c>
      <x:c r="I336" s="11" t="n">
        <x:v>14.07</x:v>
      </x:c>
      <x:c r="J336" s="11" t="n">
        <x:v>70.35</x:v>
      </x:c>
      <x:c r="K336" s="11" t="n">
        <x:v>15</x:v>
      </x:c>
      <x:c r="L336" s="11" t="str">
        <x:v>Extração parcial do início da descrição; conferir unidade/descrição completa no PDF.</x:v>
      </x:c>
      <x:c r="M336" s="11" t="str">
        <x:v>DOC-0010</x:v>
      </x:c>
      <x:c r="N336" s="11" t="n">
        <x:f>H336*I336</x:f>
        <x:v>70.35</x:v>
      </x:c>
      <x:c r="O336" s="11" t="n">
        <x:f>ROUND(N336-J336,2)</x:f>
        <x:v>0</x:v>
      </x:c>
    </x:row>
    <x:row r="337" ht="84" customHeight="1">
      <x:c r="A337" s="8" t="str">
        <x:v>ED-0010</x:v>
      </x:c>
      <x:c r="B337" s="8" t="str">
        <x:v>Diamantino</x:v>
      </x:c>
      <x:c r="C337" s="8" t="str">
        <x:v>Santa Rita do Trivelato</x:v>
      </x:c>
      <x:c r="D337" s="8" t="n">
        <x:v>35</x:v>
      </x:c>
      <x:c r="E337" s="8" t="str">
        <x:v>POLPA DE ABACAXI</x:v>
      </x:c>
      <x:c r="F337" s="8" t="str">
        <x:v>POLPA DE ABACAXI, SEM</x:v>
      </x:c>
      <x:c r="G337" s="8" t="str">
        <x:v>Unidade de</x:v>
      </x:c>
      <x:c r="H337" s="11" t="n">
        <x:v>66</x:v>
      </x:c>
      <x:c r="I337" s="11" t="n">
        <x:v>28.48</x:v>
      </x:c>
      <x:c r="J337" s="11" t="n">
        <x:v>1879.68</x:v>
      </x:c>
      <x:c r="K337" s="11" t="n">
        <x:v>16</x:v>
      </x:c>
      <x:c r="L337" s="11" t="str">
        <x:v>Extração parcial do início da descrição; conferir unidade/descrição completa no PDF.</x:v>
      </x:c>
      <x:c r="M337" s="11" t="str">
        <x:v>DOC-0010</x:v>
      </x:c>
      <x:c r="N337" s="11" t="n">
        <x:f>H337*I337</x:f>
        <x:v>1879.68</x:v>
      </x:c>
      <x:c r="O337" s="11" t="n">
        <x:f>ROUND(N337-J337,2)</x:f>
        <x:v>0</x:v>
      </x:c>
    </x:row>
    <x:row r="338" ht="84" customHeight="1">
      <x:c r="A338" s="8" t="str">
        <x:v>ED-0010</x:v>
      </x:c>
      <x:c r="B338" s="8" t="str">
        <x:v>Diamantino</x:v>
      </x:c>
      <x:c r="C338" s="8" t="str">
        <x:v>Santa Rita do Trivelato</x:v>
      </x:c>
      <x:c r="D338" s="8" t="n">
        <x:v>36</x:v>
      </x:c>
      <x:c r="E338" s="8" t="str">
        <x:v>POLPA DE ACEROLA</x:v>
      </x:c>
      <x:c r="F338" s="8" t="str">
        <x:v>POLPA DE ACEROLA, SEM</x:v>
      </x:c>
      <x:c r="G338" s="8" t="str">
        <x:v>Unidade de</x:v>
      </x:c>
      <x:c r="H338" s="11" t="n">
        <x:v>66</x:v>
      </x:c>
      <x:c r="I338" s="11" t="n">
        <x:v>30.97</x:v>
      </x:c>
      <x:c r="J338" s="11" t="n">
        <x:v>2044.02</x:v>
      </x:c>
      <x:c r="K338" s="11" t="n">
        <x:v>16</x:v>
      </x:c>
      <x:c r="L338" s="11" t="str">
        <x:v>Extração parcial do início da descrição; conferir unidade/descrição completa no PDF.</x:v>
      </x:c>
      <x:c r="M338" s="11" t="str">
        <x:v>DOC-0010</x:v>
      </x:c>
      <x:c r="N338" s="11" t="n">
        <x:f>H338*I338</x:f>
        <x:v>2044.02</x:v>
      </x:c>
      <x:c r="O338" s="11" t="n">
        <x:f>ROUND(N338-J338,2)</x:f>
        <x:v>0</x:v>
      </x:c>
    </x:row>
    <x:row r="339" ht="84" customHeight="1">
      <x:c r="A339" s="8" t="str">
        <x:v>ED-0010</x:v>
      </x:c>
      <x:c r="B339" s="8" t="str">
        <x:v>Diamantino</x:v>
      </x:c>
      <x:c r="C339" s="8" t="str">
        <x:v>Santa Rita do Trivelato</x:v>
      </x:c>
      <x:c r="D339" s="8" t="n">
        <x:v>37</x:v>
      </x:c>
      <x:c r="E339" s="8" t="str">
        <x:v>QUEIJO MUSSARELA</x:v>
      </x:c>
      <x:c r="F339" s="8" t="str">
        <x:v>QUEIJO MUSSARELA, obtido</x:v>
      </x:c>
      <x:c r="G339" s="8" t="str">
        <x:v>Quilograma</x:v>
      </x:c>
      <x:c r="H339" s="11" t="n">
        <x:v>23</x:v>
      </x:c>
      <x:c r="I339" s="11" t="n">
        <x:v>57.64</x:v>
      </x:c>
      <x:c r="J339" s="11" t="n">
        <x:v>1325.72</x:v>
      </x:c>
      <x:c r="K339" s="11" t="n">
        <x:v>16</x:v>
      </x:c>
      <x:c r="L339" s="11" t="str">
        <x:v>Extração parcial do início da descrição; conferir unidade/descrição completa no PDF.</x:v>
      </x:c>
      <x:c r="M339" s="11" t="str">
        <x:v>DOC-0010</x:v>
      </x:c>
      <x:c r="N339" s="11" t="n">
        <x:f>H339*I339</x:f>
        <x:v>1325.72</x:v>
      </x:c>
      <x:c r="O339" s="11" t="n">
        <x:f>ROUND(N339-J339,2)</x:f>
        <x:v>0</x:v>
      </x:c>
    </x:row>
    <x:row r="340" ht="84" customHeight="1">
      <x:c r="A340" s="8" t="str">
        <x:v>ED-0010</x:v>
      </x:c>
      <x:c r="B340" s="8" t="str">
        <x:v>Diamantino</x:v>
      </x:c>
      <x:c r="C340" s="8" t="str">
        <x:v>Santa Rita do Trivelato</x:v>
      </x:c>
      <x:c r="D340" s="8" t="n">
        <x:v>38</x:v>
      </x:c>
      <x:c r="E340" s="8" t="str">
        <x:v>REPOLHO</x:v>
      </x:c>
      <x:c r="F340" s="8" t="str">
        <x:v>REPOLHO</x:v>
      </x:c>
      <x:c r="G340" s="8" t="str">
        <x:v>Quilograma</x:v>
      </x:c>
      <x:c r="H340" s="11" t="n">
        <x:v>65</x:v>
      </x:c>
      <x:c r="I340" s="11" t="n">
        <x:v>7.49</x:v>
      </x:c>
      <x:c r="J340" s="11" t="n">
        <x:v>486.85</x:v>
      </x:c>
      <x:c r="K340" s="11" t="n">
        <x:v>17</x:v>
      </x:c>
      <x:c r="L340" s="11" t="str">
        <x:v>Extração parcial do início da descrição; conferir unidade/descrição completa no PDF.</x:v>
      </x:c>
      <x:c r="M340" s="11" t="str">
        <x:v>DOC-0010</x:v>
      </x:c>
      <x:c r="N340" s="11" t="n">
        <x:f>H340*I340</x:f>
        <x:v>486.85</x:v>
      </x:c>
      <x:c r="O340" s="11" t="n">
        <x:f>ROUND(N340-J340,2)</x:f>
        <x:v>0</x:v>
      </x:c>
    </x:row>
    <x:row r="341" ht="84" customHeight="1">
      <x:c r="A341" s="8" t="str">
        <x:v>ED-0010</x:v>
      </x:c>
      <x:c r="B341" s="8" t="str">
        <x:v>Diamantino</x:v>
      </x:c>
      <x:c r="C341" s="8" t="str">
        <x:v>Santa Rita do Trivelato</x:v>
      </x:c>
      <x:c r="D341" s="8" t="n">
        <x:v>39</x:v>
      </x:c>
      <x:c r="E341" s="8" t="str">
        <x:v>REQUEIJÃO                CREMOSO</x:v>
      </x:c>
      <x:c r="F341" s="8" t="str">
        <x:v>REQUEIJÃO                CREMOSO,</x:v>
      </x:c>
      <x:c r="G341" s="8" t="str">
        <x:v>Unidade de</x:v>
      </x:c>
      <x:c r="H341" s="11" t="n">
        <x:v>41</x:v>
      </x:c>
      <x:c r="I341" s="11" t="n">
        <x:v>10.62</x:v>
      </x:c>
      <x:c r="J341" s="11" t="n">
        <x:v>435.42</x:v>
      </x:c>
      <x:c r="K341" s="11" t="n">
        <x:v>17</x:v>
      </x:c>
      <x:c r="L341" s="11" t="str">
        <x:v>Extração parcial do início da descrição; conferir unidade/descrição completa no PDF.</x:v>
      </x:c>
      <x:c r="M341" s="11" t="str">
        <x:v>DOC-0010</x:v>
      </x:c>
      <x:c r="N341" s="11" t="n">
        <x:f>H341*I341</x:f>
        <x:v>435.41999999999996</x:v>
      </x:c>
      <x:c r="O341" s="11" t="n">
        <x:f>ROUND(N341-J341,2)</x:f>
        <x:v>0</x:v>
      </x:c>
    </x:row>
    <x:row r="342" ht="84" customHeight="1">
      <x:c r="A342" s="8" t="str">
        <x:v>ED-0010</x:v>
      </x:c>
      <x:c r="B342" s="8" t="str">
        <x:v>Diamantino</x:v>
      </x:c>
      <x:c r="C342" s="8" t="str">
        <x:v>Santa Rita do Trivelato</x:v>
      </x:c>
      <x:c r="D342" s="8" t="n">
        <x:v>40</x:v>
      </x:c>
      <x:c r="E342" s="8" t="str">
        <x:v>RÚCULA</x:v>
      </x:c>
      <x:c r="F342" s="8" t="str">
        <x:v>RÚCULA, com folhas inteiras,</x:v>
      </x:c>
      <x:c r="G342" s="8" t="str">
        <x:v>Quilograma</x:v>
      </x:c>
      <x:c r="H342" s="11" t="n">
        <x:v>52</x:v>
      </x:c>
      <x:c r="I342" s="11" t="n">
        <x:v>35</x:v>
      </x:c>
      <x:c r="J342" s="11" t="n">
        <x:v>1820</x:v>
      </x:c>
      <x:c r="K342" s="11" t="n">
        <x:v>18</x:v>
      </x:c>
      <x:c r="L342" s="11" t="str">
        <x:v>Extração parcial do início da descrição; conferir unidade/descrição completa no PDF.</x:v>
      </x:c>
      <x:c r="M342" s="11" t="str">
        <x:v>DOC-0010</x:v>
      </x:c>
      <x:c r="N342" s="11" t="n">
        <x:f>H342*I342</x:f>
        <x:v>1820</x:v>
      </x:c>
      <x:c r="O342" s="11" t="n">
        <x:f>ROUND(N342-J342,2)</x:f>
        <x:v>0</x:v>
      </x:c>
    </x:row>
    <x:row r="343" ht="84" customHeight="1">
      <x:c r="A343" s="8" t="str">
        <x:v>ED-0010</x:v>
      </x:c>
      <x:c r="B343" s="8" t="str">
        <x:v>Diamantino</x:v>
      </x:c>
      <x:c r="C343" s="8" t="str">
        <x:v>Santa Rita do Trivelato</x:v>
      </x:c>
      <x:c r="D343" s="8" t="n">
        <x:v>41</x:v>
      </x:c>
      <x:c r="E343" s="8" t="str">
        <x:v>SALSA</x:v>
      </x:c>
      <x:c r="F343" s="8" t="str">
        <x:v>SALSA, com talos e folhas</x:v>
      </x:c>
      <x:c r="G343" s="8" t="str">
        <x:v>Quilograma</x:v>
      </x:c>
      <x:c r="H343" s="11" t="n">
        <x:v>27</x:v>
      </x:c>
      <x:c r="I343" s="11" t="n">
        <x:v>40</x:v>
      </x:c>
      <x:c r="J343" s="11" t="n">
        <x:v>1080</x:v>
      </x:c>
      <x:c r="K343" s="11" t="n">
        <x:v>18</x:v>
      </x:c>
      <x:c r="L343" s="11" t="str">
        <x:v>Extração parcial do início da descrição; conferir unidade/descrição completa no PDF.</x:v>
      </x:c>
      <x:c r="M343" s="11" t="str">
        <x:v>DOC-0010</x:v>
      </x:c>
      <x:c r="N343" s="11" t="n">
        <x:f>H343*I343</x:f>
        <x:v>1080</x:v>
      </x:c>
      <x:c r="O343" s="11" t="n">
        <x:f>ROUND(N343-J343,2)</x:f>
        <x:v>0</x:v>
      </x:c>
    </x:row>
    <x:row r="344" ht="84" customHeight="1">
      <x:c r="A344" s="8" t="str">
        <x:v>ED-0010</x:v>
      </x:c>
      <x:c r="B344" s="8" t="str">
        <x:v>Diamantino</x:v>
      </x:c>
      <x:c r="C344" s="8" t="str">
        <x:v>Santa Rita do Trivelato</x:v>
      </x:c>
      <x:c r="D344" s="8" t="n">
        <x:v>42</x:v>
      </x:c>
      <x:c r="E344" s="8" t="str">
        <x:v>TOMATE SALADA</x:v>
      </x:c>
      <x:c r="F344" s="8" t="str">
        <x:v>TOMATE SALADA, inteiros,</x:v>
      </x:c>
      <x:c r="G344" s="8" t="str">
        <x:v>Quilograma</x:v>
      </x:c>
      <x:c r="H344" s="11" t="n">
        <x:v>69</x:v>
      </x:c>
      <x:c r="I344" s="11" t="n">
        <x:v>10.54</x:v>
      </x:c>
      <x:c r="J344" s="11" t="n">
        <x:v>727.26</x:v>
      </x:c>
      <x:c r="K344" s="11" t="n">
        <x:v>19</x:v>
      </x:c>
      <x:c r="L344" s="11" t="str">
        <x:v>Extração parcial do início da descrição; conferir unidade/descrição completa no PDF.</x:v>
      </x:c>
      <x:c r="M344" s="11" t="str">
        <x:v>DOC-0010</x:v>
      </x:c>
      <x:c r="N344" s="11" t="n">
        <x:f>H344*I344</x:f>
        <x:v>727.26</x:v>
      </x:c>
      <x:c r="O344" s="11" t="n">
        <x:f>ROUND(N344-J344,2)</x:f>
        <x:v>0</x:v>
      </x:c>
    </x:row>
    <x:row r="345" ht="84" customHeight="1">
      <x:c r="A345" s="8" t="str">
        <x:v>ED-0010</x:v>
      </x:c>
      <x:c r="B345" s="8" t="str">
        <x:v>Diamantino</x:v>
      </x:c>
      <x:c r="C345" s="8" t="str">
        <x:v>Santa Rita do Trivelato</x:v>
      </x:c>
      <x:c r="D345" s="8" t="n">
        <x:v>43</x:v>
      </x:c>
      <x:c r="E345" s="8" t="str">
        <x:v>VAGEM</x:v>
      </x:c>
      <x:c r="F345" s="8" t="str">
        <x:v>VAGEM, inteira, livre de</x:v>
      </x:c>
      <x:c r="G345" s="8" t="str">
        <x:v>Quilograma</x:v>
      </x:c>
      <x:c r="H345" s="11" t="n">
        <x:v>24</x:v>
      </x:c>
      <x:c r="I345" s="11" t="n">
        <x:v>19.42</x:v>
      </x:c>
      <x:c r="J345" s="11" t="n">
        <x:v>466.08</x:v>
      </x:c>
      <x:c r="K345" s="11" t="n">
        <x:v>19</x:v>
      </x:c>
      <x:c r="L345" s="11" t="str">
        <x:v>Extração parcial do início da descrição; conferir unidade/descrição completa no PDF.</x:v>
      </x:c>
      <x:c r="M345" s="11" t="str">
        <x:v>DOC-0010</x:v>
      </x:c>
      <x:c r="N345" s="11" t="n">
        <x:f>H345*I345</x:f>
        <x:v>466.08000000000004</x:v>
      </x:c>
      <x:c r="O345" s="11" t="n">
        <x:f>ROUND(N345-J345,2)</x:f>
        <x:v>0</x:v>
      </x:c>
    </x:row>
    <x:row r="346" ht="84" customHeight="1">
      <x:c r="A346" s="8" t="str">
        <x:v>ED-0010</x:v>
      </x:c>
      <x:c r="B346" s="8" t="str">
        <x:v>Diamantino</x:v>
      </x:c>
      <x:c r="C346" s="8" t="str">
        <x:v>Santa Rita do Trivelato</x:v>
      </x:c>
      <x:c r="D346" s="8" t="n">
        <x:v>1</x:v>
      </x:c>
      <x:c r="E346" s="8" t="str">
        <x:v>ABACAXI PÉROLA</x:v>
      </x:c>
      <x:c r="F346" s="8" t="str">
        <x:v>ABACAXI PÉROLA, inteiro,</x:v>
      </x:c>
      <x:c r="G346" s="8" t="str">
        <x:v>Quilograma</x:v>
      </x:c>
      <x:c r="H346" s="11" t="n">
        <x:v>82</x:v>
      </x:c>
      <x:c r="I346" s="11" t="n">
        <x:v>11.88</x:v>
      </x:c>
      <x:c r="J346" s="11" t="n">
        <x:v>974.16</x:v>
      </x:c>
      <x:c r="K346" s="11" t="n">
        <x:v>2</x:v>
      </x:c>
      <x:c r="L346" s="11" t="str">
        <x:v>Extração parcial do início da descrição; conferir unidade/descrição completa no PDF.</x:v>
      </x:c>
      <x:c r="M346" s="11" t="str">
        <x:v>DOC-0011</x:v>
      </x:c>
      <x:c r="N346" s="11" t="n">
        <x:f>H346*I346</x:f>
        <x:v>974.1600000000001</x:v>
      </x:c>
      <x:c r="O346" s="11" t="n">
        <x:f>ROUND(N346-J346,2)</x:f>
        <x:v>0</x:v>
      </x:c>
    </x:row>
    <x:row r="347" ht="84" customHeight="1">
      <x:c r="A347" s="8" t="str">
        <x:v>ED-0010</x:v>
      </x:c>
      <x:c r="B347" s="8" t="str">
        <x:v>Diamantino</x:v>
      </x:c>
      <x:c r="C347" s="8" t="str">
        <x:v>Santa Rita do Trivelato</x:v>
      </x:c>
      <x:c r="D347" s="8" t="n">
        <x:v>2</x:v>
      </x:c>
      <x:c r="E347" s="8" t="str">
        <x:v>ABÓBORA CABOTIÃ</x:v>
      </x:c>
      <x:c r="F347" s="8" t="str">
        <x:v>ABÓBORA CABOTIÃ, inteira,</x:v>
      </x:c>
      <x:c r="G347" s="8" t="str">
        <x:v>Quilograma</x:v>
      </x:c>
      <x:c r="H347" s="11" t="n">
        <x:v>36</x:v>
      </x:c>
      <x:c r="I347" s="11" t="n">
        <x:v>5.38</x:v>
      </x:c>
      <x:c r="J347" s="11" t="n">
        <x:v>193.68</x:v>
      </x:c>
      <x:c r="K347" s="11" t="n">
        <x:v>3</x:v>
      </x:c>
      <x:c r="L347" s="11" t="str">
        <x:v>Extração parcial do início da descrição; conferir unidade/descrição completa no PDF.</x:v>
      </x:c>
      <x:c r="M347" s="11" t="str">
        <x:v>DOC-0011</x:v>
      </x:c>
      <x:c r="N347" s="11" t="n">
        <x:f>H347*I347</x:f>
        <x:v>193.68</x:v>
      </x:c>
      <x:c r="O347" s="11" t="n">
        <x:f>ROUND(N347-J347,2)</x:f>
        <x:v>0</x:v>
      </x:c>
    </x:row>
    <x:row r="348" ht="84" customHeight="1">
      <x:c r="A348" s="8" t="str">
        <x:v>ED-0010</x:v>
      </x:c>
      <x:c r="B348" s="8" t="str">
        <x:v>Diamantino</x:v>
      </x:c>
      <x:c r="C348" s="8" t="str">
        <x:v>Santa Rita do Trivelato</x:v>
      </x:c>
      <x:c r="D348" s="8" t="n">
        <x:v>3</x:v>
      </x:c>
      <x:c r="E348" s="8" t="str">
        <x:v>AÇAFRÃO</x:v>
      </x:c>
      <x:c r="F348" s="8" t="str">
        <x:v>AÇAFRÃO, torrado, em pó fino</x:v>
      </x:c>
      <x:c r="G348" s="8" t="str">
        <x:v>Unidade de</x:v>
      </x:c>
      <x:c r="H348" s="11" t="n">
        <x:v>27</x:v>
      </x:c>
      <x:c r="I348" s="11" t="n">
        <x:v>2.88</x:v>
      </x:c>
      <x:c r="J348" s="11" t="n">
        <x:v>77.76</x:v>
      </x:c>
      <x:c r="K348" s="11" t="n">
        <x:v>3</x:v>
      </x:c>
      <x:c r="L348" s="11" t="str">
        <x:v>Extração parcial do início da descrição; conferir unidade/descrição completa no PDF.</x:v>
      </x:c>
      <x:c r="M348" s="11" t="str">
        <x:v>DOC-0011</x:v>
      </x:c>
      <x:c r="N348" s="11" t="n">
        <x:f>H348*I348</x:f>
        <x:v>77.75999999999999</x:v>
      </x:c>
      <x:c r="O348" s="11" t="n">
        <x:f>ROUND(N348-J348,2)</x:f>
        <x:v>0</x:v>
      </x:c>
    </x:row>
    <x:row r="349" ht="84" customHeight="1">
      <x:c r="A349" s="8" t="str">
        <x:v>ED-0010</x:v>
      </x:c>
      <x:c r="B349" s="8" t="str">
        <x:v>Diamantino</x:v>
      </x:c>
      <x:c r="C349" s="8" t="str">
        <x:v>Santa Rita do Trivelato</x:v>
      </x:c>
      <x:c r="D349" s="8" t="n">
        <x:v>5</x:v>
      </x:c>
      <x:c r="E349" s="8" t="str">
        <x:v>AGRIÃO</x:v>
      </x:c>
      <x:c r="F349" s="8" t="str">
        <x:v>AGRIÃO, com folhas inteiras,</x:v>
      </x:c>
      <x:c r="G349" s="8" t="str">
        <x:v>Quilograma</x:v>
      </x:c>
      <x:c r="H349" s="11" t="n">
        <x:v>16</x:v>
      </x:c>
      <x:c r="I349" s="11" t="n">
        <x:v>39.95</x:v>
      </x:c>
      <x:c r="J349" s="11" t="n">
        <x:v>639.2</x:v>
      </x:c>
      <x:c r="K349" s="11" t="n">
        <x:v>4</x:v>
      </x:c>
      <x:c r="L349" s="11" t="str">
        <x:v>Extração parcial do início da descrição; conferir unidade/descrição completa no PDF.</x:v>
      </x:c>
      <x:c r="M349" s="11" t="str">
        <x:v>DOC-0011</x:v>
      </x:c>
      <x:c r="N349" s="11" t="n">
        <x:f>H349*I349</x:f>
        <x:v>639.2</x:v>
      </x:c>
      <x:c r="O349" s="11" t="n">
        <x:f>ROUND(N349-J349,2)</x:f>
        <x:v>0</x:v>
      </x:c>
    </x:row>
    <x:row r="350" ht="84" customHeight="1">
      <x:c r="A350" s="8" t="str">
        <x:v>ED-0010</x:v>
      </x:c>
      <x:c r="B350" s="8" t="str">
        <x:v>Diamantino</x:v>
      </x:c>
      <x:c r="C350" s="8" t="str">
        <x:v>Santa Rita do Trivelato</x:v>
      </x:c>
      <x:c r="D350" s="8" t="n">
        <x:v>6</x:v>
      </x:c>
      <x:c r="E350" s="8" t="str">
        <x:v>ALFACE CRESPA</x:v>
      </x:c>
      <x:c r="F350" s="8" t="str">
        <x:v>ALFACE CRESPA, com folhas</x:v>
      </x:c>
      <x:c r="G350" s="8" t="str">
        <x:v>Quilograma</x:v>
      </x:c>
      <x:c r="H350" s="11" t="n">
        <x:v>100</x:v>
      </x:c>
      <x:c r="I350" s="11" t="n">
        <x:v>24.67</x:v>
      </x:c>
      <x:c r="J350" s="11" t="n">
        <x:v>2467</x:v>
      </x:c>
      <x:c r="K350" s="11" t="n">
        <x:v>4</x:v>
      </x:c>
      <x:c r="L350" s="11" t="str">
        <x:v>Extração parcial do início da descrição; conferir unidade/descrição completa no PDF.</x:v>
      </x:c>
      <x:c r="M350" s="11" t="str">
        <x:v>DOC-0011</x:v>
      </x:c>
      <x:c r="N350" s="11" t="n">
        <x:f>H350*I350</x:f>
        <x:v>2467</x:v>
      </x:c>
      <x:c r="O350" s="11" t="n">
        <x:f>ROUND(N350-J350,2)</x:f>
        <x:v>0</x:v>
      </x:c>
    </x:row>
    <x:row r="351" ht="84" customHeight="1">
      <x:c r="A351" s="8" t="str">
        <x:v>ED-0010</x:v>
      </x:c>
      <x:c r="B351" s="8" t="str">
        <x:v>Diamantino</x:v>
      </x:c>
      <x:c r="C351" s="8" t="str">
        <x:v>Santa Rita do Trivelato</x:v>
      </x:c>
      <x:c r="D351" s="8" t="n">
        <x:v>7</x:v>
      </x:c>
      <x:c r="E351" s="8" t="str">
        <x:v>ALMEIRÃO</x:v>
      </x:c>
      <x:c r="F351" s="8" t="str">
        <x:v>ALMEIRÃO,           com      folhas</x:v>
      </x:c>
      <x:c r="G351" s="8" t="str">
        <x:v>Quilograma</x:v>
      </x:c>
      <x:c r="H351" s="11" t="n">
        <x:v>16</x:v>
      </x:c>
      <x:c r="I351" s="11" t="n">
        <x:v>29.36</x:v>
      </x:c>
      <x:c r="J351" s="11" t="n">
        <x:v>469.76</x:v>
      </x:c>
      <x:c r="K351" s="11" t="n">
        <x:v>4</x:v>
      </x:c>
      <x:c r="L351" s="11" t="str">
        <x:v>Extração parcial do início da descrição; conferir unidade/descrição completa no PDF.</x:v>
      </x:c>
      <x:c r="M351" s="11" t="str">
        <x:v>DOC-0011</x:v>
      </x:c>
      <x:c r="N351" s="11" t="n">
        <x:f>H351*I351</x:f>
        <x:v>469.76</x:v>
      </x:c>
      <x:c r="O351" s="11" t="n">
        <x:f>ROUND(N351-J351,2)</x:f>
        <x:v>0</x:v>
      </x:c>
    </x:row>
    <x:row r="352" ht="84" customHeight="1">
      <x:c r="A352" s="8" t="str">
        <x:v>ED-0010</x:v>
      </x:c>
      <x:c r="B352" s="8" t="str">
        <x:v>Diamantino</x:v>
      </x:c>
      <x:c r="C352" s="8" t="str">
        <x:v>Santa Rita do Trivelato</x:v>
      </x:c>
      <x:c r="D352" s="8" t="n">
        <x:v>8</x:v>
      </x:c>
      <x:c r="E352" s="8" t="str">
        <x:v>BANANA DA TERRA</x:v>
      </x:c>
      <x:c r="F352" s="8" t="str">
        <x:v>BANANA DA TERRA, inteira,</x:v>
      </x:c>
      <x:c r="G352" s="8" t="str">
        <x:v>Quilograma</x:v>
      </x:c>
      <x:c r="H352" s="11" t="n">
        <x:v>33</x:v>
      </x:c>
      <x:c r="I352" s="11" t="n">
        <x:v>11.12</x:v>
      </x:c>
      <x:c r="J352" s="11" t="n">
        <x:v>366.96</x:v>
      </x:c>
      <x:c r="K352" s="11" t="n">
        <x:v>5</x:v>
      </x:c>
      <x:c r="L352" s="11" t="str">
        <x:v>Extração parcial do início da descrição; conferir unidade/descrição completa no PDF.</x:v>
      </x:c>
      <x:c r="M352" s="11" t="str">
        <x:v>DOC-0011</x:v>
      </x:c>
      <x:c r="N352" s="11" t="n">
        <x:f>H352*I352</x:f>
        <x:v>366.96</x:v>
      </x:c>
      <x:c r="O352" s="11" t="n">
        <x:f>ROUND(N352-J352,2)</x:f>
        <x:v>0</x:v>
      </x:c>
    </x:row>
    <x:row r="353" ht="84" customHeight="1">
      <x:c r="A353" s="8" t="str">
        <x:v>ED-0010</x:v>
      </x:c>
      <x:c r="B353" s="8" t="str">
        <x:v>Diamantino</x:v>
      </x:c>
      <x:c r="C353" s="8" t="str">
        <x:v>Santa Rita do Trivelato</x:v>
      </x:c>
      <x:c r="D353" s="8" t="n">
        <x:v>10</x:v>
      </x:c>
      <x:c r="E353" s="8" t="str">
        <x:v>BATATA DOCE</x:v>
      </x:c>
      <x:c r="F353" s="8" t="str">
        <x:v>BATATA DOCE, inteira, livre</x:v>
      </x:c>
      <x:c r="G353" s="8" t="str">
        <x:v>Quilograma</x:v>
      </x:c>
      <x:c r="H353" s="11" t="n">
        <x:v>24</x:v>
      </x:c>
      <x:c r="I353" s="11" t="n">
        <x:v>6.6</x:v>
      </x:c>
      <x:c r="J353" s="11" t="n">
        <x:v>158.4</x:v>
      </x:c>
      <x:c r="K353" s="11" t="n">
        <x:v>6</x:v>
      </x:c>
      <x:c r="L353" s="11" t="str">
        <x:v>Extração parcial do início da descrição; conferir unidade/descrição completa no PDF.</x:v>
      </x:c>
      <x:c r="M353" s="11" t="str">
        <x:v>DOC-0011</x:v>
      </x:c>
      <x:c r="N353" s="11" t="n">
        <x:f>H353*I353</x:f>
        <x:v>158.39999999999998</x:v>
      </x:c>
      <x:c r="O353" s="11" t="n">
        <x:f>ROUND(N353-J353,2)</x:f>
        <x:v>0</x:v>
      </x:c>
    </x:row>
    <x:row r="354" ht="84" customHeight="1">
      <x:c r="A354" s="8" t="str">
        <x:v>ED-0010</x:v>
      </x:c>
      <x:c r="B354" s="8" t="str">
        <x:v>Diamantino</x:v>
      </x:c>
      <x:c r="C354" s="8" t="str">
        <x:v>Santa Rita do Trivelato</x:v>
      </x:c>
      <x:c r="D354" s="8" t="n">
        <x:v>12</x:v>
      </x:c>
      <x:c r="E354" s="8" t="str">
        <x:v>BEBIDA                  LÁCTEA</x:v>
      </x:c>
      <x:c r="F354" s="8" t="str">
        <x:v>BEBIDA                  LÁCTEA</x:v>
      </x:c>
      <x:c r="G354" s="8" t="str">
        <x:v>Unidade de</x:v>
      </x:c>
      <x:c r="H354" s="11" t="n">
        <x:v>54</x:v>
      </x:c>
      <x:c r="I354" s="11" t="n">
        <x:v>10.1</x:v>
      </x:c>
      <x:c r="J354" s="11" t="n">
        <x:v>545.4</x:v>
      </x:c>
      <x:c r="K354" s="11" t="n">
        <x:v>7</x:v>
      </x:c>
      <x:c r="L354" s="11" t="str">
        <x:v>Extração parcial do início da descrição; conferir unidade/descrição completa no PDF.</x:v>
      </x:c>
      <x:c r="M354" s="11" t="str">
        <x:v>DOC-0011</x:v>
      </x:c>
      <x:c r="N354" s="11" t="n">
        <x:f>H354*I354</x:f>
        <x:v>545.4</x:v>
      </x:c>
      <x:c r="O354" s="11" t="n">
        <x:f>ROUND(N354-J354,2)</x:f>
        <x:v>0</x:v>
      </x:c>
    </x:row>
    <x:row r="355" ht="84" customHeight="1">
      <x:c r="A355" s="8" t="str">
        <x:v>ED-0010</x:v>
      </x:c>
      <x:c r="B355" s="8" t="str">
        <x:v>Diamantino</x:v>
      </x:c>
      <x:c r="C355" s="8" t="str">
        <x:v>Santa Rita do Trivelato</x:v>
      </x:c>
      <x:c r="D355" s="8" t="n">
        <x:v>13</x:v>
      </x:c>
      <x:c r="E355" s="8" t="str">
        <x:v>BETERRABA</x:v>
      </x:c>
      <x:c r="F355" s="8" t="str">
        <x:v>BETERRABA, inteira, livre de</x:v>
      </x:c>
      <x:c r="G355" s="8" t="str">
        <x:v>Quilograma</x:v>
      </x:c>
      <x:c r="H355" s="11" t="n">
        <x:v>16</x:v>
      </x:c>
      <x:c r="I355" s="11" t="n">
        <x:v>5.51</x:v>
      </x:c>
      <x:c r="J355" s="11" t="n">
        <x:v>88.16</x:v>
      </x:c>
      <x:c r="K355" s="11" t="n">
        <x:v>7</x:v>
      </x:c>
      <x:c r="L355" s="11" t="str">
        <x:v>Extração parcial do início da descrição; conferir unidade/descrição completa no PDF.</x:v>
      </x:c>
      <x:c r="M355" s="11" t="str">
        <x:v>DOC-0011</x:v>
      </x:c>
      <x:c r="N355" s="11" t="n">
        <x:f>H355*I355</x:f>
        <x:v>88.16</x:v>
      </x:c>
      <x:c r="O355" s="11" t="n">
        <x:f>ROUND(N355-J355,2)</x:f>
        <x:v>0</x:v>
      </x:c>
    </x:row>
    <x:row r="356" ht="84" customHeight="1">
      <x:c r="A356" s="8" t="str">
        <x:v>ED-0010</x:v>
      </x:c>
      <x:c r="B356" s="8" t="str">
        <x:v>Diamantino</x:v>
      </x:c>
      <x:c r="C356" s="8" t="str">
        <x:v>Santa Rita do Trivelato</x:v>
      </x:c>
      <x:c r="D356" s="8" t="n">
        <x:v>14</x:v>
      </x:c>
      <x:c r="E356" s="8" t="str">
        <x:v>CAFÉ TORRADO E MOÍDO</x:v>
      </x:c>
      <x:c r="F356" s="8" t="str">
        <x:v>CAFÉ TORRADO E MOÍDO,</x:v>
      </x:c>
      <x:c r="G356" s="8" t="str">
        <x:v>Unidade de</x:v>
      </x:c>
      <x:c r="H356" s="11" t="n">
        <x:v>65</x:v>
      </x:c>
      <x:c r="I356" s="11" t="n">
        <x:v>23.32</x:v>
      </x:c>
      <x:c r="J356" s="11" t="n">
        <x:v>1515.8</x:v>
      </x:c>
      <x:c r="K356" s="11" t="n">
        <x:v>7</x:v>
      </x:c>
      <x:c r="L356" s="11" t="str">
        <x:v>Extração parcial do início da descrição; conferir unidade/descrição completa no PDF.</x:v>
      </x:c>
      <x:c r="M356" s="11" t="str">
        <x:v>DOC-0011</x:v>
      </x:c>
      <x:c r="N356" s="11" t="n">
        <x:f>H356*I356</x:f>
        <x:v>1515.8</x:v>
      </x:c>
      <x:c r="O356" s="11" t="n">
        <x:f>ROUND(N356-J356,2)</x:f>
        <x:v>0</x:v>
      </x:c>
    </x:row>
    <x:row r="357" ht="84" customHeight="1">
      <x:c r="A357" s="8" t="str">
        <x:v>ED-0010</x:v>
      </x:c>
      <x:c r="B357" s="8" t="str">
        <x:v>Diamantino</x:v>
      </x:c>
      <x:c r="C357" s="8" t="str">
        <x:v>Santa Rita do Trivelato</x:v>
      </x:c>
      <x:c r="D357" s="8" t="n">
        <x:v>15</x:v>
      </x:c>
      <x:c r="E357" s="8" t="str">
        <x:v>CEBOLINHA</x:v>
      </x:c>
      <x:c r="F357" s="8" t="str">
        <x:v>CEBOLINHA, verde, com</x:v>
      </x:c>
      <x:c r="G357" s="8" t="str">
        <x:v>Quilograma</x:v>
      </x:c>
      <x:c r="H357" s="11" t="n">
        <x:v>33</x:v>
      </x:c>
      <x:c r="I357" s="11" t="n">
        <x:v>29</x:v>
      </x:c>
      <x:c r="J357" s="11" t="n">
        <x:v>957</x:v>
      </x:c>
      <x:c r="K357" s="11" t="n">
        <x:v>8</x:v>
      </x:c>
      <x:c r="L357" s="11" t="str">
        <x:v>Extração parcial do início da descrição; conferir unidade/descrição completa no PDF.</x:v>
      </x:c>
      <x:c r="M357" s="11" t="str">
        <x:v>DOC-0011</x:v>
      </x:c>
      <x:c r="N357" s="11" t="n">
        <x:f>H357*I357</x:f>
        <x:v>957</x:v>
      </x:c>
      <x:c r="O357" s="11" t="n">
        <x:f>ROUND(N357-J357,2)</x:f>
        <x:v>0</x:v>
      </x:c>
    </x:row>
    <x:row r="358" ht="84" customHeight="1">
      <x:c r="A358" s="8" t="str">
        <x:v>ED-0010</x:v>
      </x:c>
      <x:c r="B358" s="8" t="str">
        <x:v>Diamantino</x:v>
      </x:c>
      <x:c r="C358" s="8" t="str">
        <x:v>Santa Rita do Trivelato</x:v>
      </x:c>
      <x:c r="D358" s="8" t="n">
        <x:v>16</x:v>
      </x:c>
      <x:c r="E358" s="8" t="str">
        <x:v>CENOURA</x:v>
      </x:c>
      <x:c r="F358" s="8" t="str">
        <x:v>CENOURA, inteira, livre de</x:v>
      </x:c>
      <x:c r="G358" s="8" t="str">
        <x:v>Quilograma</x:v>
      </x:c>
      <x:c r="H358" s="11" t="n">
        <x:v>103</x:v>
      </x:c>
      <x:c r="I358" s="11" t="n">
        <x:v>5.62</x:v>
      </x:c>
      <x:c r="J358" s="11" t="n">
        <x:v>578.86</x:v>
      </x:c>
      <x:c r="K358" s="11" t="n">
        <x:v>8</x:v>
      </x:c>
      <x:c r="L358" s="11" t="str">
        <x:v>Extração parcial do início da descrição; conferir unidade/descrição completa no PDF.</x:v>
      </x:c>
      <x:c r="M358" s="11" t="str">
        <x:v>DOC-0011</x:v>
      </x:c>
      <x:c r="N358" s="11" t="n">
        <x:f>H358*I358</x:f>
        <x:v>578.86</x:v>
      </x:c>
      <x:c r="O358" s="11" t="n">
        <x:f>ROUND(N358-J358,2)</x:f>
        <x:v>0</x:v>
      </x:c>
    </x:row>
    <x:row r="359" ht="84" customHeight="1">
      <x:c r="A359" s="8" t="str">
        <x:v>ED-0010</x:v>
      </x:c>
      <x:c r="B359" s="8" t="str">
        <x:v>Diamantino</x:v>
      </x:c>
      <x:c r="C359" s="8" t="str">
        <x:v>Santa Rita do Trivelato</x:v>
      </x:c>
      <x:c r="D359" s="8" t="n">
        <x:v>17</x:v>
      </x:c>
      <x:c r="E359" s="8" t="str">
        <x:v>COENTRO</x:v>
      </x:c>
      <x:c r="F359" s="8" t="str">
        <x:v>COENTRO, com talos e folhas</x:v>
      </x:c>
      <x:c r="G359" s="8" t="str">
        <x:v>Quilograma</x:v>
      </x:c>
      <x:c r="H359" s="11" t="n">
        <x:v>3</x:v>
      </x:c>
      <x:c r="I359" s="11" t="n">
        <x:v>38.12</x:v>
      </x:c>
      <x:c r="J359" s="11" t="n">
        <x:v>114.36</x:v>
      </x:c>
      <x:c r="K359" s="11" t="n">
        <x:v>9</x:v>
      </x:c>
      <x:c r="L359" s="11" t="str">
        <x:v>Extração parcial do início da descrição; conferir unidade/descrição completa no PDF.</x:v>
      </x:c>
      <x:c r="M359" s="11" t="str">
        <x:v>DOC-0011</x:v>
      </x:c>
      <x:c r="N359" s="11" t="n">
        <x:f>H359*I359</x:f>
        <x:v>114.35999999999999</x:v>
      </x:c>
      <x:c r="O359" s="11" t="n">
        <x:f>ROUND(N359-J359,2)</x:f>
        <x:v>0</x:v>
      </x:c>
    </x:row>
    <x:row r="360" ht="84" customHeight="1">
      <x:c r="A360" s="8" t="str">
        <x:v>ED-0010</x:v>
      </x:c>
      <x:c r="B360" s="8" t="str">
        <x:v>Diamantino</x:v>
      </x:c>
      <x:c r="C360" s="8" t="str">
        <x:v>Santa Rita do Trivelato</x:v>
      </x:c>
      <x:c r="D360" s="8" t="n">
        <x:v>18</x:v>
      </x:c>
      <x:c r="E360" s="8" t="str">
        <x:v>COLORAU</x:v>
      </x:c>
      <x:c r="F360" s="8" t="str">
        <x:v>COLORAU, corante, natural de</x:v>
      </x:c>
      <x:c r="G360" s="8" t="str">
        <x:v>Unidade de</x:v>
      </x:c>
      <x:c r="H360" s="11" t="n">
        <x:v>234</x:v>
      </x:c>
      <x:c r="I360" s="11" t="n">
        <x:v>4.09</x:v>
      </x:c>
      <x:c r="J360" s="11" t="n">
        <x:v>957.06</x:v>
      </x:c>
      <x:c r="K360" s="11" t="n">
        <x:v>9</x:v>
      </x:c>
      <x:c r="L360" s="11" t="str">
        <x:v>Extração parcial do início da descrição; conferir unidade/descrição completa no PDF.</x:v>
      </x:c>
      <x:c r="M360" s="11" t="str">
        <x:v>DOC-0011</x:v>
      </x:c>
      <x:c r="N360" s="11" t="n">
        <x:f>H360*I360</x:f>
        <x:v>957.06</x:v>
      </x:c>
      <x:c r="O360" s="11" t="n">
        <x:f>ROUND(N360-J360,2)</x:f>
        <x:v>0</x:v>
      </x:c>
    </x:row>
    <x:row r="361" ht="84" customHeight="1">
      <x:c r="A361" s="8" t="str">
        <x:v>ED-0010</x:v>
      </x:c>
      <x:c r="B361" s="8" t="str">
        <x:v>Diamantino</x:v>
      </x:c>
      <x:c r="C361" s="8" t="str">
        <x:v>Santa Rita do Trivelato</x:v>
      </x:c>
      <x:c r="D361" s="8" t="n">
        <x:v>19</x:v>
      </x:c>
      <x:c r="E361" s="8" t="str">
        <x:v>COUVE</x:v>
      </x:c>
      <x:c r="F361" s="8" t="str">
        <x:v>COUVE, manteiga com folhas</x:v>
      </x:c>
      <x:c r="G361" s="8" t="str">
        <x:v>Quilograma</x:v>
      </x:c>
      <x:c r="H361" s="11" t="n">
        <x:v>98</x:v>
      </x:c>
      <x:c r="I361" s="11" t="n">
        <x:v>21.03</x:v>
      </x:c>
      <x:c r="J361" s="11" t="n">
        <x:v>2060.94</x:v>
      </x:c>
      <x:c r="K361" s="11" t="n">
        <x:v>9</x:v>
      </x:c>
      <x:c r="L361" s="11" t="str">
        <x:v>Extração parcial do início da descrição; conferir unidade/descrição completa no PDF.</x:v>
      </x:c>
      <x:c r="M361" s="11" t="str">
        <x:v>DOC-0011</x:v>
      </x:c>
      <x:c r="N361" s="11" t="n">
        <x:f>H361*I361</x:f>
        <x:v>2060.94</x:v>
      </x:c>
      <x:c r="O361" s="11" t="n">
        <x:f>ROUND(N361-J361,2)</x:f>
        <x:v>0</x:v>
      </x:c>
    </x:row>
    <x:row r="362" ht="84" customHeight="1">
      <x:c r="A362" s="8" t="str">
        <x:v>ED-0010</x:v>
      </x:c>
      <x:c r="B362" s="8" t="str">
        <x:v>Diamantino</x:v>
      </x:c>
      <x:c r="C362" s="8" t="str">
        <x:v>Santa Rita do Trivelato</x:v>
      </x:c>
      <x:c r="D362" s="8" t="n">
        <x:v>20</x:v>
      </x:c>
      <x:c r="E362" s="8" t="str">
        <x:v>FARINHA DE MANDIOCA</x:v>
      </x:c>
      <x:c r="F362" s="8" t="str">
        <x:v>FARINHA DE MANDIOCA,</x:v>
      </x:c>
      <x:c r="G362" s="8" t="str">
        <x:v>Unidade de</x:v>
      </x:c>
      <x:c r="H362" s="11" t="n">
        <x:v>47</x:v>
      </x:c>
      <x:c r="I362" s="11" t="n">
        <x:v>9.51</x:v>
      </x:c>
      <x:c r="J362" s="11" t="n">
        <x:v>446.97</x:v>
      </x:c>
      <x:c r="K362" s="11" t="n">
        <x:v>10</x:v>
      </x:c>
      <x:c r="L362" s="11" t="str">
        <x:v>Extração parcial do início da descrição; conferir unidade/descrição completa no PDF.</x:v>
      </x:c>
      <x:c r="M362" s="11" t="str">
        <x:v>DOC-0011</x:v>
      </x:c>
      <x:c r="N362" s="11" t="n">
        <x:f>H362*I362</x:f>
        <x:v>446.96999999999997</x:v>
      </x:c>
      <x:c r="O362" s="11" t="n">
        <x:f>ROUND(N362-J362,2)</x:f>
        <x:v>0</x:v>
      </x:c>
    </x:row>
    <x:row r="363" ht="84" customHeight="1">
      <x:c r="A363" s="8" t="str">
        <x:v>ED-0010</x:v>
      </x:c>
      <x:c r="B363" s="8" t="str">
        <x:v>Diamantino</x:v>
      </x:c>
      <x:c r="C363" s="8" t="str">
        <x:v>Santa Rita do Trivelato</x:v>
      </x:c>
      <x:c r="D363" s="8" t="n">
        <x:v>21</x:v>
      </x:c>
      <x:c r="E363" s="8" t="str">
        <x:v>INHAME</x:v>
      </x:c>
      <x:c r="F363" s="8" t="str">
        <x:v>INHAME, in natura, tamanho e</x:v>
      </x:c>
      <x:c r="G363" s="8" t="str">
        <x:v>Quilograma</x:v>
      </x:c>
      <x:c r="H363" s="11" t="n">
        <x:v>20</x:v>
      </x:c>
      <x:c r="I363" s="11" t="n">
        <x:v>13.69</x:v>
      </x:c>
      <x:c r="J363" s="11" t="n">
        <x:v>273.8</x:v>
      </x:c>
      <x:c r="K363" s="11" t="n">
        <x:v>10</x:v>
      </x:c>
      <x:c r="L363" s="11" t="str">
        <x:v>Extração parcial do início da descrição; conferir unidade/descrição completa no PDF.</x:v>
      </x:c>
      <x:c r="M363" s="11" t="str">
        <x:v>DOC-0011</x:v>
      </x:c>
      <x:c r="N363" s="11" t="n">
        <x:f>H363*I363</x:f>
        <x:v>273.8</x:v>
      </x:c>
      <x:c r="O363" s="11" t="n">
        <x:f>ROUND(N363-J363,2)</x:f>
        <x:v>0</x:v>
      </x:c>
    </x:row>
    <x:row r="364" ht="84" customHeight="1">
      <x:c r="A364" s="8" t="str">
        <x:v>ED-0010</x:v>
      </x:c>
      <x:c r="B364" s="8" t="str">
        <x:v>Diamantino</x:v>
      </x:c>
      <x:c r="C364" s="8" t="str">
        <x:v>Santa Rita do Trivelato</x:v>
      </x:c>
      <x:c r="D364" s="8" t="n">
        <x:v>22</x:v>
      </x:c>
      <x:c r="E364" s="8" t="str">
        <x:v>LARANJA PÊRA</x:v>
      </x:c>
      <x:c r="F364" s="8" t="str">
        <x:v>LARANJA PÊRA, inteira, livre</x:v>
      </x:c>
      <x:c r="G364" s="8" t="str">
        <x:v>Quilograma</x:v>
      </x:c>
      <x:c r="H364" s="11" t="n">
        <x:v>181</x:v>
      </x:c>
      <x:c r="I364" s="11" t="n">
        <x:v>8.31</x:v>
      </x:c>
      <x:c r="J364" s="11" t="n">
        <x:v>1504.11</x:v>
      </x:c>
      <x:c r="K364" s="11" t="n">
        <x:v>10</x:v>
      </x:c>
      <x:c r="L364" s="11" t="str">
        <x:v>Extração parcial do início da descrição; conferir unidade/descrição completa no PDF.</x:v>
      </x:c>
      <x:c r="M364" s="11" t="str">
        <x:v>DOC-0011</x:v>
      </x:c>
      <x:c r="N364" s="11" t="n">
        <x:f>H364*I364</x:f>
        <x:v>1504.1100000000001</x:v>
      </x:c>
      <x:c r="O364" s="11" t="n">
        <x:f>ROUND(N364-J364,2)</x:f>
        <x:v>0</x:v>
      </x:c>
    </x:row>
    <x:row r="365" ht="84" customHeight="1">
      <x:c r="A365" s="8" t="str">
        <x:v>ED-0010</x:v>
      </x:c>
      <x:c r="B365" s="8" t="str">
        <x:v>Diamantino</x:v>
      </x:c>
      <x:c r="C365" s="8" t="str">
        <x:v>Santa Rita do Trivelato</x:v>
      </x:c>
      <x:c r="D365" s="8" t="n">
        <x:v>23</x:v>
      </x:c>
      <x:c r="E365" s="8" t="str">
        <x:v>LEITE          PASTEURIZADO</x:v>
      </x:c>
      <x:c r="F365" s="8" t="str">
        <x:v>LEITE          PASTEURIZADO</x:v>
      </x:c>
      <x:c r="G365" s="8" t="str">
        <x:v>Unidade de</x:v>
      </x:c>
      <x:c r="H365" s="11" t="n">
        <x:v>963</x:v>
      </x:c>
      <x:c r="I365" s="11" t="n">
        <x:v>7.2</x:v>
      </x:c>
      <x:c r="J365" s="11" t="n">
        <x:v>6933.6</x:v>
      </x:c>
      <x:c r="K365" s="11" t="n">
        <x:v>11</x:v>
      </x:c>
      <x:c r="L365" s="11" t="str">
        <x:v>Extração parcial do início da descrição; conferir unidade/descrição completa no PDF.</x:v>
      </x:c>
      <x:c r="M365" s="11" t="str">
        <x:v>DOC-0011</x:v>
      </x:c>
      <x:c r="N365" s="11" t="n">
        <x:f>H365*I365</x:f>
        <x:v>6933.6</x:v>
      </x:c>
      <x:c r="O365" s="11" t="n">
        <x:f>ROUND(N365-J365,2)</x:f>
        <x:v>0</x:v>
      </x:c>
    </x:row>
    <x:row r="366" ht="84" customHeight="1">
      <x:c r="A366" s="8" t="str">
        <x:v>ED-0010</x:v>
      </x:c>
      <x:c r="B366" s="8" t="str">
        <x:v>Diamantino</x:v>
      </x:c>
      <x:c r="C366" s="8" t="str">
        <x:v>Santa Rita do Trivelato</x:v>
      </x:c>
      <x:c r="D366" s="8" t="n">
        <x:v>24</x:v>
      </x:c>
      <x:c r="E366" s="8" t="str">
        <x:v>LIMÃO TAHITI</x:v>
      </x:c>
      <x:c r="F366" s="8" t="str">
        <x:v>LIMÃO TAHITI, inteiro, livre</x:v>
      </x:c>
      <x:c r="G366" s="8" t="str">
        <x:v>Quilograma</x:v>
      </x:c>
      <x:c r="H366" s="11" t="n">
        <x:v>20</x:v>
      </x:c>
      <x:c r="I366" s="11" t="n">
        <x:v>11.28</x:v>
      </x:c>
      <x:c r="J366" s="11" t="n">
        <x:v>225.6</x:v>
      </x:c>
      <x:c r="K366" s="11" t="n">
        <x:v>11</x:v>
      </x:c>
      <x:c r="L366" s="11" t="str">
        <x:v>Extração parcial do início da descrição; conferir unidade/descrição completa no PDF.</x:v>
      </x:c>
      <x:c r="M366" s="11" t="str">
        <x:v>DOC-0011</x:v>
      </x:c>
      <x:c r="N366" s="11" t="n">
        <x:f>H366*I366</x:f>
        <x:v>225.6</x:v>
      </x:c>
      <x:c r="O366" s="11" t="n">
        <x:f>ROUND(N366-J366,2)</x:f>
        <x:v>0</x:v>
      </x:c>
    </x:row>
    <x:row r="367" ht="84" customHeight="1">
      <x:c r="A367" s="8" t="str">
        <x:v>ED-0010</x:v>
      </x:c>
      <x:c r="B367" s="8" t="str">
        <x:v>Diamantino</x:v>
      </x:c>
      <x:c r="C367" s="8" t="str">
        <x:v>Santa Rita do Trivelato</x:v>
      </x:c>
      <x:c r="D367" s="8" t="n">
        <x:v>25</x:v>
      </x:c>
      <x:c r="E367" s="8" t="str">
        <x:v>MAMÃO FORMOSA</x:v>
      </x:c>
      <x:c r="F367" s="8" t="str">
        <x:v>MAMÃO FORMOSA, livre de</x:v>
      </x:c>
      <x:c r="G367" s="8" t="str">
        <x:v>Quilograma</x:v>
      </x:c>
      <x:c r="H367" s="11" t="n">
        <x:v>36</x:v>
      </x:c>
      <x:c r="I367" s="11" t="n">
        <x:v>10.34</x:v>
      </x:c>
      <x:c r="J367" s="11" t="n">
        <x:v>372.24</x:v>
      </x:c>
      <x:c r="K367" s="11" t="n">
        <x:v>12</x:v>
      </x:c>
      <x:c r="L367" s="11" t="str">
        <x:v>Extração parcial do início da descrição; conferir unidade/descrição completa no PDF.</x:v>
      </x:c>
      <x:c r="M367" s="11" t="str">
        <x:v>DOC-0011</x:v>
      </x:c>
      <x:c r="N367" s="11" t="n">
        <x:f>H367*I367</x:f>
        <x:v>372.24</x:v>
      </x:c>
      <x:c r="O367" s="11" t="n">
        <x:f>ROUND(N367-J367,2)</x:f>
        <x:v>0</x:v>
      </x:c>
    </x:row>
    <x:row r="368" ht="84" customHeight="1">
      <x:c r="A368" s="8" t="str">
        <x:v>ED-0010</x:v>
      </x:c>
      <x:c r="B368" s="8" t="str">
        <x:v>Diamantino</x:v>
      </x:c>
      <x:c r="C368" s="8" t="str">
        <x:v>Santa Rita do Trivelato</x:v>
      </x:c>
      <x:c r="D368" s="8" t="n">
        <x:v>26</x:v>
      </x:c>
      <x:c r="E368" s="8" t="str">
        <x:v>MANDIOCA DESCASCADA</x:v>
      </x:c>
      <x:c r="F368" s="8" t="str">
        <x:v>MANDIOCA DESCASCADA</x:v>
      </x:c>
      <x:c r="G368" s="8" t="str">
        <x:v>Unidade de</x:v>
      </x:c>
      <x:c r="H368" s="11" t="n">
        <x:v>66</x:v>
      </x:c>
      <x:c r="I368" s="11" t="n">
        <x:v>11.13</x:v>
      </x:c>
      <x:c r="J368" s="11" t="n">
        <x:v>734.58</x:v>
      </x:c>
      <x:c r="K368" s="11" t="n">
        <x:v>12</x:v>
      </x:c>
      <x:c r="L368" s="11" t="str">
        <x:v>Extração parcial do início da descrição; conferir unidade/descrição completa no PDF.</x:v>
      </x:c>
      <x:c r="M368" s="11" t="str">
        <x:v>DOC-0011</x:v>
      </x:c>
      <x:c r="N368" s="11" t="n">
        <x:f>H368*I368</x:f>
        <x:v>734.58</x:v>
      </x:c>
      <x:c r="O368" s="11" t="n">
        <x:f>ROUND(N368-J368,2)</x:f>
        <x:v>0</x:v>
      </x:c>
    </x:row>
    <x:row r="369" ht="84" customHeight="1">
      <x:c r="A369" s="8" t="str">
        <x:v>ED-0010</x:v>
      </x:c>
      <x:c r="B369" s="8" t="str">
        <x:v>Diamantino</x:v>
      </x:c>
      <x:c r="C369" s="8" t="str">
        <x:v>Santa Rita do Trivelato</x:v>
      </x:c>
      <x:c r="D369" s="8" t="n">
        <x:v>27</x:v>
      </x:c>
      <x:c r="E369" s="8" t="str">
        <x:v>MANTEIGA PURA COM</x:v>
      </x:c>
      <x:c r="F369" s="8" t="str">
        <x:v>MANTEIGA PURA COM</x:v>
      </x:c>
      <x:c r="G369" s="8" t="str">
        <x:v>Unidade de</x:v>
      </x:c>
      <x:c r="H369" s="11" t="n">
        <x:v>86</x:v>
      </x:c>
      <x:c r="I369" s="11" t="n">
        <x:v>40</x:v>
      </x:c>
      <x:c r="J369" s="11" t="n">
        <x:v>3440</x:v>
      </x:c>
      <x:c r="K369" s="11" t="n">
        <x:v>13</x:v>
      </x:c>
      <x:c r="L369" s="11" t="str">
        <x:v>Extração parcial do início da descrição; conferir unidade/descrição completa no PDF.</x:v>
      </x:c>
      <x:c r="M369" s="11" t="str">
        <x:v>DOC-0011</x:v>
      </x:c>
      <x:c r="N369" s="11" t="n">
        <x:f>H369*I369</x:f>
        <x:v>3440</x:v>
      </x:c>
      <x:c r="O369" s="11" t="n">
        <x:f>ROUND(N369-J369,2)</x:f>
        <x:v>0</x:v>
      </x:c>
    </x:row>
    <x:row r="370" ht="84" customHeight="1">
      <x:c r="A370" s="8" t="str">
        <x:v>ED-0010</x:v>
      </x:c>
      <x:c r="B370" s="8" t="str">
        <x:v>Diamantino</x:v>
      </x:c>
      <x:c r="C370" s="8" t="str">
        <x:v>Santa Rita do Trivelato</x:v>
      </x:c>
      <x:c r="D370" s="8" t="n">
        <x:v>28</x:v>
      </x:c>
      <x:c r="E370" s="8" t="str">
        <x:v>MELANCIA</x:v>
      </x:c>
      <x:c r="F370" s="8" t="str">
        <x:v>MELANCIA, inteira, livre de</x:v>
      </x:c>
      <x:c r="G370" s="8" t="str">
        <x:v>Quilograma</x:v>
      </x:c>
      <x:c r="H370" s="11" t="n">
        <x:v>82</x:v>
      </x:c>
      <x:c r="I370" s="11" t="n">
        <x:v>4.23</x:v>
      </x:c>
      <x:c r="J370" s="11" t="n">
        <x:v>346.86</x:v>
      </x:c>
      <x:c r="K370" s="11" t="n">
        <x:v>13</x:v>
      </x:c>
      <x:c r="L370" s="11" t="str">
        <x:v>Extração parcial do início da descrição; conferir unidade/descrição completa no PDF.</x:v>
      </x:c>
      <x:c r="M370" s="11" t="str">
        <x:v>DOC-0011</x:v>
      </x:c>
      <x:c r="N370" s="11" t="n">
        <x:f>H370*I370</x:f>
        <x:v>346.86</x:v>
      </x:c>
      <x:c r="O370" s="11" t="n">
        <x:f>ROUND(N370-J370,2)</x:f>
        <x:v>0</x:v>
      </x:c>
    </x:row>
    <x:row r="371" ht="84" customHeight="1">
      <x:c r="A371" s="8" t="str">
        <x:v>ED-0010</x:v>
      </x:c>
      <x:c r="B371" s="8" t="str">
        <x:v>Diamantino</x:v>
      </x:c>
      <x:c r="C371" s="8" t="str">
        <x:v>Santa Rita do Trivelato</x:v>
      </x:c>
      <x:c r="D371" s="8" t="n">
        <x:v>30</x:v>
      </x:c>
      <x:c r="E371" s="8" t="str">
        <x:v>PÃO CASEIRO</x:v>
      </x:c>
      <x:c r="F371" s="8" t="str">
        <x:v>PÃO CASEIRO, de boa</x:v>
      </x:c>
      <x:c r="G371" s="8" t="str">
        <x:v>Quilograma</x:v>
      </x:c>
      <x:c r="H371" s="11" t="n">
        <x:v>131</x:v>
      </x:c>
      <x:c r="I371" s="11" t="n">
        <x:v>13.02</x:v>
      </x:c>
      <x:c r="J371" s="11" t="n">
        <x:v>1705.62</x:v>
      </x:c>
      <x:c r="K371" s="11" t="n">
        <x:v>14</x:v>
      </x:c>
      <x:c r="L371" s="11" t="str">
        <x:v>Extração parcial do início da descrição; conferir unidade/descrição completa no PDF.</x:v>
      </x:c>
      <x:c r="M371" s="11" t="str">
        <x:v>DOC-0011</x:v>
      </x:c>
      <x:c r="N371" s="11" t="n">
        <x:f>H371*I371</x:f>
        <x:v>1705.62</x:v>
      </x:c>
      <x:c r="O371" s="11" t="n">
        <x:f>ROUND(N371-J371,2)</x:f>
        <x:v>0</x:v>
      </x:c>
    </x:row>
    <x:row r="372" ht="84" customHeight="1">
      <x:c r="A372" s="8" t="str">
        <x:v>ED-0010</x:v>
      </x:c>
      <x:c r="B372" s="8" t="str">
        <x:v>Diamantino</x:v>
      </x:c>
      <x:c r="C372" s="8" t="str">
        <x:v>Santa Rita do Trivelato</x:v>
      </x:c>
      <x:c r="D372" s="8" t="n">
        <x:v>31</x:v>
      </x:c>
      <x:c r="E372" s="8" t="str">
        <x:v>PEIXE PINTADO FILÉ</x:v>
      </x:c>
      <x:c r="F372" s="8" t="str">
        <x:v>PEIXE PINTADO FILÉ, de</x:v>
      </x:c>
      <x:c r="G372" s="8" t="str">
        <x:v>Unidade de</x:v>
      </x:c>
      <x:c r="H372" s="11" t="n">
        <x:v>74</x:v>
      </x:c>
      <x:c r="I372" s="11" t="n">
        <x:v>74</x:v>
      </x:c>
      <x:c r="J372" s="11" t="n">
        <x:v>5476</x:v>
      </x:c>
      <x:c r="K372" s="11" t="n">
        <x:v>14</x:v>
      </x:c>
      <x:c r="L372" s="11" t="str">
        <x:v>Extração parcial do início da descrição; conferir unidade/descrição completa no PDF.</x:v>
      </x:c>
      <x:c r="M372" s="11" t="str">
        <x:v>DOC-0011</x:v>
      </x:c>
      <x:c r="N372" s="11" t="n">
        <x:f>H372*I372</x:f>
        <x:v>5476</x:v>
      </x:c>
      <x:c r="O372" s="11" t="n">
        <x:f>ROUND(N372-J372,2)</x:f>
        <x:v>0</x:v>
      </x:c>
    </x:row>
    <x:row r="373" ht="84" customHeight="1">
      <x:c r="A373" s="8" t="str">
        <x:v>ED-0010</x:v>
      </x:c>
      <x:c r="B373" s="8" t="str">
        <x:v>Diamantino</x:v>
      </x:c>
      <x:c r="C373" s="8" t="str">
        <x:v>Santa Rita do Trivelato</x:v>
      </x:c>
      <x:c r="D373" s="8" t="n">
        <x:v>32</x:v>
      </x:c>
      <x:c r="E373" s="8" t="str">
        <x:v>PEPINO</x:v>
      </x:c>
      <x:c r="F373" s="8" t="str">
        <x:v>PEPINO, inteiro, livre de</x:v>
      </x:c>
      <x:c r="G373" s="8" t="str">
        <x:v>Quilograma</x:v>
      </x:c>
      <x:c r="H373" s="11" t="n">
        <x:v>20</x:v>
      </x:c>
      <x:c r="I373" s="11" t="n">
        <x:v>7.69</x:v>
      </x:c>
      <x:c r="J373" s="11" t="n">
        <x:v>153.8</x:v>
      </x:c>
      <x:c r="K373" s="11" t="n">
        <x:v>15</x:v>
      </x:c>
      <x:c r="L373" s="11" t="str">
        <x:v>Extração parcial do início da descrição; conferir unidade/descrição completa no PDF.</x:v>
      </x:c>
      <x:c r="M373" s="11" t="str">
        <x:v>DOC-0011</x:v>
      </x:c>
      <x:c r="N373" s="11" t="n">
        <x:f>H373*I373</x:f>
        <x:v>153.8</x:v>
      </x:c>
      <x:c r="O373" s="11" t="n">
        <x:f>ROUND(N373-J373,2)</x:f>
        <x:v>0</x:v>
      </x:c>
    </x:row>
    <x:row r="374" ht="84" customHeight="1">
      <x:c r="A374" s="8" t="str">
        <x:v>ED-0010</x:v>
      </x:c>
      <x:c r="B374" s="8" t="str">
        <x:v>Diamantino</x:v>
      </x:c>
      <x:c r="C374" s="8" t="str">
        <x:v>Santa Rita do Trivelato</x:v>
      </x:c>
      <x:c r="D374" s="8" t="n">
        <x:v>33</x:v>
      </x:c>
      <x:c r="E374" s="8" t="str">
        <x:v>PIMENTA          DE     CHEIRO</x:v>
      </x:c>
      <x:c r="F374" s="8" t="str">
        <x:v>PIMENTA          DE     CHEIRO,</x:v>
      </x:c>
      <x:c r="G374" s="8" t="str">
        <x:v>Quilograma</x:v>
      </x:c>
      <x:c r="H374" s="11" t="n">
        <x:v>7</x:v>
      </x:c>
      <x:c r="I374" s="11" t="n">
        <x:v>36.77</x:v>
      </x:c>
      <x:c r="J374" s="11" t="n">
        <x:v>257.39</x:v>
      </x:c>
      <x:c r="K374" s="11" t="n">
        <x:v>15</x:v>
      </x:c>
      <x:c r="L374" s="11" t="str">
        <x:v>Extração parcial do início da descrição; conferir unidade/descrição completa no PDF.</x:v>
      </x:c>
      <x:c r="M374" s="11" t="str">
        <x:v>DOC-0011</x:v>
      </x:c>
      <x:c r="N374" s="11" t="n">
        <x:f>H374*I374</x:f>
        <x:v>257.39000000000004</x:v>
      </x:c>
      <x:c r="O374" s="11" t="n">
        <x:f>ROUND(N374-J374,2)</x:f>
        <x:v>0</x:v>
      </x:c>
    </x:row>
    <x:row r="375" ht="84" customHeight="1">
      <x:c r="A375" s="8" t="str">
        <x:v>ED-0010</x:v>
      </x:c>
      <x:c r="B375" s="8" t="str">
        <x:v>Diamantino</x:v>
      </x:c>
      <x:c r="C375" s="8" t="str">
        <x:v>Santa Rita do Trivelato</x:v>
      </x:c>
      <x:c r="D375" s="8" t="n">
        <x:v>34</x:v>
      </x:c>
      <x:c r="E375" s="8" t="str">
        <x:v>PIMENTÃO VERDE</x:v>
      </x:c>
      <x:c r="F375" s="8" t="str">
        <x:v>PIMENTÃO VERDE, inteiro,</x:v>
      </x:c>
      <x:c r="G375" s="8" t="str">
        <x:v>Quilograma</x:v>
      </x:c>
      <x:c r="H375" s="11" t="n">
        <x:v>5</x:v>
      </x:c>
      <x:c r="I375" s="11" t="n">
        <x:v>12.73</x:v>
      </x:c>
      <x:c r="J375" s="11" t="n">
        <x:v>63.65</x:v>
      </x:c>
      <x:c r="K375" s="11" t="n">
        <x:v>15</x:v>
      </x:c>
      <x:c r="L375" s="11" t="str">
        <x:v>Extração parcial do início da descrição; conferir unidade/descrição completa no PDF.</x:v>
      </x:c>
      <x:c r="M375" s="11" t="str">
        <x:v>DOC-0011</x:v>
      </x:c>
      <x:c r="N375" s="11" t="n">
        <x:f>H375*I375</x:f>
        <x:v>63.650000000000006</x:v>
      </x:c>
      <x:c r="O375" s="11" t="n">
        <x:f>ROUND(N375-J375,2)</x:f>
        <x:v>0</x:v>
      </x:c>
    </x:row>
    <x:row r="376" ht="84" customHeight="1">
      <x:c r="A376" s="8" t="str">
        <x:v>ED-0010</x:v>
      </x:c>
      <x:c r="B376" s="8" t="str">
        <x:v>Diamantino</x:v>
      </x:c>
      <x:c r="C376" s="8" t="str">
        <x:v>Santa Rita do Trivelato</x:v>
      </x:c>
      <x:c r="D376" s="8" t="n">
        <x:v>35</x:v>
      </x:c>
      <x:c r="E376" s="8" t="str">
        <x:v>POLPA DE ABACAXI</x:v>
      </x:c>
      <x:c r="F376" s="8" t="str">
        <x:v>POLPA DE ABACAXI, SEM</x:v>
      </x:c>
      <x:c r="G376" s="8" t="str">
        <x:v>Unidade de</x:v>
      </x:c>
      <x:c r="H376" s="11" t="n">
        <x:v>66</x:v>
      </x:c>
      <x:c r="I376" s="11" t="n">
        <x:v>28.48</x:v>
      </x:c>
      <x:c r="J376" s="11" t="n">
        <x:v>1879.68</x:v>
      </x:c>
      <x:c r="K376" s="11" t="n">
        <x:v>16</x:v>
      </x:c>
      <x:c r="L376" s="11" t="str">
        <x:v>Extração parcial do início da descrição; conferir unidade/descrição completa no PDF.</x:v>
      </x:c>
      <x:c r="M376" s="11" t="str">
        <x:v>DOC-0011</x:v>
      </x:c>
      <x:c r="N376" s="11" t="n">
        <x:f>H376*I376</x:f>
        <x:v>1879.68</x:v>
      </x:c>
      <x:c r="O376" s="11" t="n">
        <x:f>ROUND(N376-J376,2)</x:f>
        <x:v>0</x:v>
      </x:c>
    </x:row>
    <x:row r="377" ht="84" customHeight="1">
      <x:c r="A377" s="8" t="str">
        <x:v>ED-0010</x:v>
      </x:c>
      <x:c r="B377" s="8" t="str">
        <x:v>Diamantino</x:v>
      </x:c>
      <x:c r="C377" s="8" t="str">
        <x:v>Santa Rita do Trivelato</x:v>
      </x:c>
      <x:c r="D377" s="8" t="n">
        <x:v>36</x:v>
      </x:c>
      <x:c r="E377" s="8" t="str">
        <x:v>POLPA DE ACEROLA</x:v>
      </x:c>
      <x:c r="F377" s="8" t="str">
        <x:v>POLPA DE ACEROLA, SEM</x:v>
      </x:c>
      <x:c r="G377" s="8" t="str">
        <x:v>Unidade de</x:v>
      </x:c>
      <x:c r="H377" s="11" t="n">
        <x:v>66</x:v>
      </x:c>
      <x:c r="I377" s="11" t="n">
        <x:v>30.97</x:v>
      </x:c>
      <x:c r="J377" s="11" t="n">
        <x:v>2044.02</x:v>
      </x:c>
      <x:c r="K377" s="11" t="n">
        <x:v>16</x:v>
      </x:c>
      <x:c r="L377" s="11" t="str">
        <x:v>Extração parcial do início da descrição; conferir unidade/descrição completa no PDF.</x:v>
      </x:c>
      <x:c r="M377" s="11" t="str">
        <x:v>DOC-0011</x:v>
      </x:c>
      <x:c r="N377" s="11" t="n">
        <x:f>H377*I377</x:f>
        <x:v>2044.02</x:v>
      </x:c>
      <x:c r="O377" s="11" t="n">
        <x:f>ROUND(N377-J377,2)</x:f>
        <x:v>0</x:v>
      </x:c>
    </x:row>
    <x:row r="378" ht="84" customHeight="1">
      <x:c r="A378" s="8" t="str">
        <x:v>ED-0010</x:v>
      </x:c>
      <x:c r="B378" s="8" t="str">
        <x:v>Diamantino</x:v>
      </x:c>
      <x:c r="C378" s="8" t="str">
        <x:v>Santa Rita do Trivelato</x:v>
      </x:c>
      <x:c r="D378" s="8" t="n">
        <x:v>37</x:v>
      </x:c>
      <x:c r="E378" s="8" t="str">
        <x:v>QUEIJO MUSSARELA</x:v>
      </x:c>
      <x:c r="F378" s="8" t="str">
        <x:v>QUEIJO MUSSARELA, obtido</x:v>
      </x:c>
      <x:c r="G378" s="8" t="str">
        <x:v>Quilograma</x:v>
      </x:c>
      <x:c r="H378" s="11" t="n">
        <x:v>23</x:v>
      </x:c>
      <x:c r="I378" s="11" t="n">
        <x:v>57.64</x:v>
      </x:c>
      <x:c r="J378" s="11" t="n">
        <x:v>1325.72</x:v>
      </x:c>
      <x:c r="K378" s="11" t="n">
        <x:v>16</x:v>
      </x:c>
      <x:c r="L378" s="11" t="str">
        <x:v>Extração parcial do início da descrição; conferir unidade/descrição completa no PDF.</x:v>
      </x:c>
      <x:c r="M378" s="11" t="str">
        <x:v>DOC-0011</x:v>
      </x:c>
      <x:c r="N378" s="11" t="n">
        <x:f>H378*I378</x:f>
        <x:v>1325.72</x:v>
      </x:c>
      <x:c r="O378" s="11" t="n">
        <x:f>ROUND(N378-J378,2)</x:f>
        <x:v>0</x:v>
      </x:c>
    </x:row>
    <x:row r="379" ht="84" customHeight="1">
      <x:c r="A379" s="8" t="str">
        <x:v>ED-0010</x:v>
      </x:c>
      <x:c r="B379" s="8" t="str">
        <x:v>Diamantino</x:v>
      </x:c>
      <x:c r="C379" s="8" t="str">
        <x:v>Santa Rita do Trivelato</x:v>
      </x:c>
      <x:c r="D379" s="8" t="n">
        <x:v>38</x:v>
      </x:c>
      <x:c r="E379" s="8" t="str">
        <x:v>REPOLHO</x:v>
      </x:c>
      <x:c r="F379" s="8" t="str">
        <x:v>REPOLHO</x:v>
      </x:c>
      <x:c r="G379" s="8" t="str">
        <x:v>Quilograma</x:v>
      </x:c>
      <x:c r="H379" s="11" t="n">
        <x:v>65</x:v>
      </x:c>
      <x:c r="I379" s="11" t="n">
        <x:v>4.93</x:v>
      </x:c>
      <x:c r="J379" s="11" t="n">
        <x:v>320.45</x:v>
      </x:c>
      <x:c r="K379" s="11" t="n">
        <x:v>17</x:v>
      </x:c>
      <x:c r="L379" s="11" t="str">
        <x:v>Extração parcial do início da descrição; conferir unidade/descrição completa no PDF.</x:v>
      </x:c>
      <x:c r="M379" s="11" t="str">
        <x:v>DOC-0011</x:v>
      </x:c>
      <x:c r="N379" s="11" t="n">
        <x:f>H379*I379</x:f>
        <x:v>320.45</x:v>
      </x:c>
      <x:c r="O379" s="11" t="n">
        <x:f>ROUND(N379-J379,2)</x:f>
        <x:v>0</x:v>
      </x:c>
    </x:row>
    <x:row r="380" ht="84" customHeight="1">
      <x:c r="A380" s="8" t="str">
        <x:v>ED-0010</x:v>
      </x:c>
      <x:c r="B380" s="8" t="str">
        <x:v>Diamantino</x:v>
      </x:c>
      <x:c r="C380" s="8" t="str">
        <x:v>Santa Rita do Trivelato</x:v>
      </x:c>
      <x:c r="D380" s="8" t="n">
        <x:v>39</x:v>
      </x:c>
      <x:c r="E380" s="8" t="str">
        <x:v>REQUEIJÃO                CREMOSO</x:v>
      </x:c>
      <x:c r="F380" s="8" t="str">
        <x:v>REQUEIJÃO                CREMOSO,</x:v>
      </x:c>
      <x:c r="G380" s="8" t="str">
        <x:v>Unidade de</x:v>
      </x:c>
      <x:c r="H380" s="11" t="n">
        <x:v>41</x:v>
      </x:c>
      <x:c r="I380" s="11" t="n">
        <x:v>10.62</x:v>
      </x:c>
      <x:c r="J380" s="11" t="n">
        <x:v>435.42</x:v>
      </x:c>
      <x:c r="K380" s="11" t="n">
        <x:v>17</x:v>
      </x:c>
      <x:c r="L380" s="11" t="str">
        <x:v>Extração parcial do início da descrição; conferir unidade/descrição completa no PDF.</x:v>
      </x:c>
      <x:c r="M380" s="11" t="str">
        <x:v>DOC-0011</x:v>
      </x:c>
      <x:c r="N380" s="11" t="n">
        <x:f>H380*I380</x:f>
        <x:v>435.41999999999996</x:v>
      </x:c>
      <x:c r="O380" s="11" t="n">
        <x:f>ROUND(N380-J380,2)</x:f>
        <x:v>0</x:v>
      </x:c>
    </x:row>
    <x:row r="381" ht="84" customHeight="1">
      <x:c r="A381" s="8" t="str">
        <x:v>ED-0010</x:v>
      </x:c>
      <x:c r="B381" s="8" t="str">
        <x:v>Diamantino</x:v>
      </x:c>
      <x:c r="C381" s="8" t="str">
        <x:v>Santa Rita do Trivelato</x:v>
      </x:c>
      <x:c r="D381" s="8" t="n">
        <x:v>40</x:v>
      </x:c>
      <x:c r="E381" s="8" t="str">
        <x:v>RÚCULA</x:v>
      </x:c>
      <x:c r="F381" s="8" t="str">
        <x:v>RÚCULA, com folhas inteiras,</x:v>
      </x:c>
      <x:c r="G381" s="8" t="str">
        <x:v>Quilograma</x:v>
      </x:c>
      <x:c r="H381" s="11" t="n">
        <x:v>52</x:v>
      </x:c>
      <x:c r="I381" s="11" t="n">
        <x:v>24.75</x:v>
      </x:c>
      <x:c r="J381" s="11" t="n">
        <x:v>1287</x:v>
      </x:c>
      <x:c r="K381" s="11" t="n">
        <x:v>18</x:v>
      </x:c>
      <x:c r="L381" s="11" t="str">
        <x:v>Extração parcial do início da descrição; conferir unidade/descrição completa no PDF.</x:v>
      </x:c>
      <x:c r="M381" s="11" t="str">
        <x:v>DOC-0011</x:v>
      </x:c>
      <x:c r="N381" s="11" t="n">
        <x:f>H381*I381</x:f>
        <x:v>1287</x:v>
      </x:c>
      <x:c r="O381" s="11" t="n">
        <x:f>ROUND(N381-J381,2)</x:f>
        <x:v>0</x:v>
      </x:c>
    </x:row>
    <x:row r="382" ht="84" customHeight="1">
      <x:c r="A382" s="8" t="str">
        <x:v>ED-0010</x:v>
      </x:c>
      <x:c r="B382" s="8" t="str">
        <x:v>Diamantino</x:v>
      </x:c>
      <x:c r="C382" s="8" t="str">
        <x:v>Santa Rita do Trivelato</x:v>
      </x:c>
      <x:c r="D382" s="8" t="n">
        <x:v>41</x:v>
      </x:c>
      <x:c r="E382" s="8" t="str">
        <x:v>SALSA</x:v>
      </x:c>
      <x:c r="F382" s="8" t="str">
        <x:v>SALSA, com talos e folhas</x:v>
      </x:c>
      <x:c r="G382" s="8" t="str">
        <x:v>Quilograma</x:v>
      </x:c>
      <x:c r="H382" s="11" t="n">
        <x:v>27</x:v>
      </x:c>
      <x:c r="I382" s="11" t="n">
        <x:v>27.5</x:v>
      </x:c>
      <x:c r="J382" s="11" t="n">
        <x:v>742.5</x:v>
      </x:c>
      <x:c r="K382" s="11" t="n">
        <x:v>18</x:v>
      </x:c>
      <x:c r="L382" s="11" t="str">
        <x:v>Extração parcial do início da descrição; conferir unidade/descrição completa no PDF.</x:v>
      </x:c>
      <x:c r="M382" s="11" t="str">
        <x:v>DOC-0011</x:v>
      </x:c>
      <x:c r="N382" s="11" t="n">
        <x:f>H382*I382</x:f>
        <x:v>742.5</x:v>
      </x:c>
      <x:c r="O382" s="11" t="n">
        <x:f>ROUND(N382-J382,2)</x:f>
        <x:v>0</x:v>
      </x:c>
    </x:row>
    <x:row r="383" ht="84" customHeight="1">
      <x:c r="A383" s="8" t="str">
        <x:v>ED-0010</x:v>
      </x:c>
      <x:c r="B383" s="8" t="str">
        <x:v>Diamantino</x:v>
      </x:c>
      <x:c r="C383" s="8" t="str">
        <x:v>Santa Rita do Trivelato</x:v>
      </x:c>
      <x:c r="D383" s="8" t="n">
        <x:v>42</x:v>
      </x:c>
      <x:c r="E383" s="8" t="str">
        <x:v>TOMATE SALADA</x:v>
      </x:c>
      <x:c r="F383" s="8" t="str">
        <x:v>TOMATE SALADA, inteiros,</x:v>
      </x:c>
      <x:c r="G383" s="8" t="str">
        <x:v>Quilograma</x:v>
      </x:c>
      <x:c r="H383" s="11" t="n">
        <x:v>69</x:v>
      </x:c>
      <x:c r="I383" s="11" t="n">
        <x:v>8.48</x:v>
      </x:c>
      <x:c r="J383" s="11" t="n">
        <x:v>585.12</x:v>
      </x:c>
      <x:c r="K383" s="11" t="n">
        <x:v>19</x:v>
      </x:c>
      <x:c r="L383" s="11" t="str">
        <x:v>Extração parcial do início da descrição; conferir unidade/descrição completa no PDF.</x:v>
      </x:c>
      <x:c r="M383" s="11" t="str">
        <x:v>DOC-0011</x:v>
      </x:c>
      <x:c r="N383" s="11" t="n">
        <x:f>H383*I383</x:f>
        <x:v>585.12</x:v>
      </x:c>
      <x:c r="O383" s="11" t="n">
        <x:f>ROUND(N383-J383,2)</x:f>
        <x:v>0</x:v>
      </x:c>
    </x:row>
    <x:row r="384" ht="84" customHeight="1">
      <x:c r="A384" s="8" t="str">
        <x:v>ED-0010</x:v>
      </x:c>
      <x:c r="B384" s="8" t="str">
        <x:v>Diamantino</x:v>
      </x:c>
      <x:c r="C384" s="8" t="str">
        <x:v>Santa Rita do Trivelato</x:v>
      </x:c>
      <x:c r="D384" s="8" t="n">
        <x:v>43</x:v>
      </x:c>
      <x:c r="E384" s="8" t="str">
        <x:v>VAGEM</x:v>
      </x:c>
      <x:c r="F384" s="8" t="str">
        <x:v>VAGEM, inteira, livre de</x:v>
      </x:c>
      <x:c r="G384" s="8" t="str">
        <x:v>Quilograma</x:v>
      </x:c>
      <x:c r="H384" s="11" t="n">
        <x:v>24</x:v>
      </x:c>
      <x:c r="I384" s="11" t="n">
        <x:v>19.42</x:v>
      </x:c>
      <x:c r="J384" s="11" t="n">
        <x:v>466.08</x:v>
      </x:c>
      <x:c r="K384" s="11" t="n">
        <x:v>19</x:v>
      </x:c>
      <x:c r="L384" s="11" t="str">
        <x:v>Extração parcial do início da descrição; conferir unidade/descrição completa no PDF.</x:v>
      </x:c>
      <x:c r="M384" s="11" t="str">
        <x:v>DOC-0011</x:v>
      </x:c>
      <x:c r="N384" s="11" t="n">
        <x:f>H384*I384</x:f>
        <x:v>466.08000000000004</x:v>
      </x:c>
      <x:c r="O384" s="11" t="n">
        <x:f>ROUND(N384-J384,2)</x:f>
        <x:v>0</x:v>
      </x:c>
    </x:row>
    <x:row r="385" ht="84" customHeight="1">
      <x:c r="A385" s="8" t="str">
        <x:v>ED-0011</x:v>
      </x:c>
      <x:c r="B385" s="8" t="str">
        <x:v>Diamantino</x:v>
      </x:c>
      <x:c r="C385" s="8" t="str">
        <x:v>Alto Paraguai - campo</x:v>
      </x:c>
      <x:c r="D385" s="8" t="n">
        <x:v>1</x:v>
      </x:c>
      <x:c r="E385" s="8" t="str">
        <x:v>ABACATE</x:v>
      </x:c>
      <x:c r="F385" s="8" t="str">
        <x:v>ABACATE, inteiro, livre de sujidades,</x:v>
      </x:c>
      <x:c r="G385" s="8" t="str">
        <x:v>Quilograma</x:v>
      </x:c>
      <x:c r="H385" s="11" t="n">
        <x:v>9</x:v>
      </x:c>
      <x:c r="I385" s="11" t="n">
        <x:v>22.39</x:v>
      </x:c>
      <x:c r="J385" s="11" t="n">
        <x:v>201.51</x:v>
      </x:c>
      <x:c r="K385" s="11" t="n">
        <x:v>3</x:v>
      </x:c>
      <x:c r="L385" s="11" t="str">
        <x:v>Extração parcial do início da descrição; conferir unidade/descrição completa no PDF.</x:v>
      </x:c>
      <x:c r="M385" s="11" t="str">
        <x:v>DOC-0012</x:v>
      </x:c>
      <x:c r="N385" s="11" t="n">
        <x:f>H385*I385</x:f>
        <x:v>201.51</x:v>
      </x:c>
      <x:c r="O385" s="11" t="n">
        <x:f>ROUND(N385-J385,2)</x:f>
        <x:v>0</x:v>
      </x:c>
    </x:row>
    <x:row r="386" ht="84" customHeight="1">
      <x:c r="A386" s="8" t="str">
        <x:v>ED-0011</x:v>
      </x:c>
      <x:c r="B386" s="8" t="str">
        <x:v>Diamantino</x:v>
      </x:c>
      <x:c r="C386" s="8" t="str">
        <x:v>Alto Paraguai - campo</x:v>
      </x:c>
      <x:c r="D386" s="8" t="n">
        <x:v>2</x:v>
      </x:c>
      <x:c r="E386" s="8" t="str">
        <x:v>ABACAXI PÉROLA</x:v>
      </x:c>
      <x:c r="F386" s="8" t="str">
        <x:v>ABACAXI PÉROLA, inteiro, livre de</x:v>
      </x:c>
      <x:c r="G386" s="8" t="str">
        <x:v>Quilograma</x:v>
      </x:c>
      <x:c r="H386" s="11" t="n">
        <x:v>154</x:v>
      </x:c>
      <x:c r="I386" s="11" t="n">
        <x:v>12.46</x:v>
      </x:c>
      <x:c r="J386" s="11" t="n">
        <x:v>1918.84</x:v>
      </x:c>
      <x:c r="K386" s="11" t="n">
        <x:v>3</x:v>
      </x:c>
      <x:c r="L386" s="11" t="str">
        <x:v>Extração parcial do início da descrição; conferir unidade/descrição completa no PDF.</x:v>
      </x:c>
      <x:c r="M386" s="11" t="str">
        <x:v>DOC-0012</x:v>
      </x:c>
      <x:c r="N386" s="11" t="n">
        <x:f>H386*I386</x:f>
        <x:v>1918.8400000000001</x:v>
      </x:c>
      <x:c r="O386" s="11" t="n">
        <x:f>ROUND(N386-J386,2)</x:f>
        <x:v>0</x:v>
      </x:c>
    </x:row>
    <x:row r="387" ht="84" customHeight="1">
      <x:c r="A387" s="8" t="str">
        <x:v>ED-0011</x:v>
      </x:c>
      <x:c r="B387" s="8" t="str">
        <x:v>Diamantino</x:v>
      </x:c>
      <x:c r="C387" s="8" t="str">
        <x:v>Alto Paraguai - campo</x:v>
      </x:c>
      <x:c r="D387" s="8" t="n">
        <x:v>4</x:v>
      </x:c>
      <x:c r="E387" s="8" t="str">
        <x:v>AÇAFRÃO</x:v>
      </x:c>
      <x:c r="F387" s="8" t="str">
        <x:v>AÇAFRÃO, torrado, em pó fino e</x:v>
      </x:c>
      <x:c r="G387" s="8" t="str">
        <x:v>Unidade de</x:v>
      </x:c>
      <x:c r="H387" s="11" t="n">
        <x:v>55</x:v>
      </x:c>
      <x:c r="I387" s="11" t="n">
        <x:v>5.4</x:v>
      </x:c>
      <x:c r="J387" s="11" t="n">
        <x:v>297</x:v>
      </x:c>
      <x:c r="K387" s="11" t="n">
        <x:v>4</x:v>
      </x:c>
      <x:c r="L387" s="11" t="str">
        <x:v>Extração parcial do início da descrição; conferir unidade/descrição completa no PDF.</x:v>
      </x:c>
      <x:c r="M387" s="11" t="str">
        <x:v>DOC-0012</x:v>
      </x:c>
      <x:c r="N387" s="11" t="n">
        <x:f>H387*I387</x:f>
        <x:v>297</x:v>
      </x:c>
      <x:c r="O387" s="11" t="n">
        <x:f>ROUND(N387-J387,2)</x:f>
        <x:v>0</x:v>
      </x:c>
    </x:row>
    <x:row r="388" ht="84" customHeight="1">
      <x:c r="A388" s="8" t="str">
        <x:v>ED-0011</x:v>
      </x:c>
      <x:c r="B388" s="8" t="str">
        <x:v>Diamantino</x:v>
      </x:c>
      <x:c r="C388" s="8" t="str">
        <x:v>Alto Paraguai - campo</x:v>
      </x:c>
      <x:c r="D388" s="8" t="n">
        <x:v>6</x:v>
      </x:c>
      <x:c r="E388" s="8" t="str">
        <x:v>AGRIÃO</x:v>
      </x:c>
      <x:c r="F388" s="8" t="str">
        <x:v>AGRIÃO, com folhas inteiras, livre de</x:v>
      </x:c>
      <x:c r="G388" s="8" t="str">
        <x:v>Quilograma</x:v>
      </x:c>
      <x:c r="H388" s="11" t="n">
        <x:v>30</x:v>
      </x:c>
      <x:c r="I388" s="11" t="n">
        <x:v>28.47</x:v>
      </x:c>
      <x:c r="J388" s="11" t="n">
        <x:v>854.1</x:v>
      </x:c>
      <x:c r="K388" s="11" t="n">
        <x:v>4</x:v>
      </x:c>
      <x:c r="L388" s="11" t="str">
        <x:v>Extração parcial do início da descrição; conferir unidade/descrição completa no PDF.</x:v>
      </x:c>
      <x:c r="M388" s="11" t="str">
        <x:v>DOC-0012</x:v>
      </x:c>
      <x:c r="N388" s="11" t="n">
        <x:f>H388*I388</x:f>
        <x:v>854.0999999999999</x:v>
      </x:c>
      <x:c r="O388" s="11" t="n">
        <x:f>ROUND(N388-J388,2)</x:f>
        <x:v>0</x:v>
      </x:c>
    </x:row>
    <x:row r="389" ht="84" customHeight="1">
      <x:c r="A389" s="8" t="str">
        <x:v>ED-0011</x:v>
      </x:c>
      <x:c r="B389" s="8" t="str">
        <x:v>Diamantino</x:v>
      </x:c>
      <x:c r="C389" s="8" t="str">
        <x:v>Alto Paraguai - campo</x:v>
      </x:c>
      <x:c r="D389" s="8" t="n">
        <x:v>7</x:v>
      </x:c>
      <x:c r="E389" s="8" t="str">
        <x:v>ALFACE CRESPA</x:v>
      </x:c>
      <x:c r="F389" s="8" t="str">
        <x:v>ALFACE CRESPA, com folhas</x:v>
      </x:c>
      <x:c r="G389" s="8" t="str">
        <x:v>Quilograma</x:v>
      </x:c>
      <x:c r="H389" s="11" t="n">
        <x:v>247</x:v>
      </x:c>
      <x:c r="I389" s="11" t="n">
        <x:v>23.88</x:v>
      </x:c>
      <x:c r="J389" s="11" t="n">
        <x:v>5898.36</x:v>
      </x:c>
      <x:c r="K389" s="11" t="n">
        <x:v>4</x:v>
      </x:c>
      <x:c r="L389" s="11" t="str">
        <x:v>Extração parcial do início da descrição; conferir unidade/descrição completa no PDF.</x:v>
      </x:c>
      <x:c r="M389" s="11" t="str">
        <x:v>DOC-0012</x:v>
      </x:c>
      <x:c r="N389" s="11" t="n">
        <x:f>H389*I389</x:f>
        <x:v>5898.36</x:v>
      </x:c>
      <x:c r="O389" s="11" t="n">
        <x:f>ROUND(N389-J389,2)</x:f>
        <x:v>0</x:v>
      </x:c>
    </x:row>
    <x:row r="390" ht="84" customHeight="1">
      <x:c r="A390" s="8" t="str">
        <x:v>ED-0011</x:v>
      </x:c>
      <x:c r="B390" s="8" t="str">
        <x:v>Diamantino</x:v>
      </x:c>
      <x:c r="C390" s="8" t="str">
        <x:v>Alto Paraguai - campo</x:v>
      </x:c>
      <x:c r="D390" s="8" t="n">
        <x:v>8</x:v>
      </x:c>
      <x:c r="E390" s="8" t="str">
        <x:v>ALMEIRÃO</x:v>
      </x:c>
      <x:c r="F390" s="8" t="str">
        <x:v>ALMEIRÃO, com folhas inteiras, livre</x:v>
      </x:c>
      <x:c r="G390" s="8" t="str">
        <x:v>Quilograma</x:v>
      </x:c>
      <x:c r="H390" s="11" t="n">
        <x:v>42</x:v>
      </x:c>
      <x:c r="I390" s="11" t="n">
        <x:v>24.67</x:v>
      </x:c>
      <x:c r="J390" s="11" t="n">
        <x:v>1036.14</x:v>
      </x:c>
      <x:c r="K390" s="11" t="n">
        <x:v>5</x:v>
      </x:c>
      <x:c r="L390" s="11" t="str">
        <x:v>Extração parcial do início da descrição; conferir unidade/descrição completa no PDF.</x:v>
      </x:c>
      <x:c r="M390" s="11" t="str">
        <x:v>DOC-0012</x:v>
      </x:c>
      <x:c r="N390" s="11" t="n">
        <x:f>H390*I390</x:f>
        <x:v>1036.14</x:v>
      </x:c>
      <x:c r="O390" s="11" t="n">
        <x:f>ROUND(N390-J390,2)</x:f>
        <x:v>0</x:v>
      </x:c>
    </x:row>
    <x:row r="391" ht="84" customHeight="1">
      <x:c r="A391" s="8" t="str">
        <x:v>ED-0011</x:v>
      </x:c>
      <x:c r="B391" s="8" t="str">
        <x:v>Diamantino</x:v>
      </x:c>
      <x:c r="C391" s="8" t="str">
        <x:v>Alto Paraguai - campo</x:v>
      </x:c>
      <x:c r="D391" s="8" t="n">
        <x:v>9</x:v>
      </x:c>
      <x:c r="E391" s="8" t="str">
        <x:v>BANANA DA TERRA</x:v>
      </x:c>
      <x:c r="F391" s="8" t="str">
        <x:v>BANANA DA TERRA, inteira, livre</x:v>
      </x:c>
      <x:c r="G391" s="8" t="str">
        <x:v>Quilograma</x:v>
      </x:c>
      <x:c r="H391" s="11" t="n">
        <x:v>75</x:v>
      </x:c>
      <x:c r="I391" s="11" t="n">
        <x:v>12.43</x:v>
      </x:c>
      <x:c r="J391" s="11" t="n">
        <x:v>932.25</x:v>
      </x:c>
      <x:c r="K391" s="11" t="n">
        <x:v>5</x:v>
      </x:c>
      <x:c r="L391" s="11" t="str">
        <x:v>Extração parcial do início da descrição; conferir unidade/descrição completa no PDF.</x:v>
      </x:c>
      <x:c r="M391" s="11" t="str">
        <x:v>DOC-0012</x:v>
      </x:c>
      <x:c r="N391" s="11" t="n">
        <x:f>H391*I391</x:f>
        <x:v>932.25</x:v>
      </x:c>
      <x:c r="O391" s="11" t="n">
        <x:f>ROUND(N391-J391,2)</x:f>
        <x:v>0</x:v>
      </x:c>
    </x:row>
    <x:row r="392" ht="84" customHeight="1">
      <x:c r="A392" s="8" t="str">
        <x:v>ED-0011</x:v>
      </x:c>
      <x:c r="B392" s="8" t="str">
        <x:v>Diamantino</x:v>
      </x:c>
      <x:c r="C392" s="8" t="str">
        <x:v>Alto Paraguai - campo</x:v>
      </x:c>
      <x:c r="D392" s="8" t="n">
        <x:v>10</x:v>
      </x:c>
      <x:c r="E392" s="8" t="str">
        <x:v>BANANA NANICA</x:v>
      </x:c>
      <x:c r="F392" s="8" t="str">
        <x:v>BANANA NANICA, inteira, livre de</x:v>
      </x:c>
      <x:c r="G392" s="8" t="str">
        <x:v>Quilograma</x:v>
      </x:c>
      <x:c r="H392" s="11" t="n">
        <x:v>116</x:v>
      </x:c>
      <x:c r="I392" s="11" t="n">
        <x:v>7.93</x:v>
      </x:c>
      <x:c r="J392" s="11" t="n">
        <x:v>919.88</x:v>
      </x:c>
      <x:c r="K392" s="11" t="n">
        <x:v>5</x:v>
      </x:c>
      <x:c r="L392" s="11" t="str">
        <x:v>Extração parcial do início da descrição; conferir unidade/descrição completa no PDF.</x:v>
      </x:c>
      <x:c r="M392" s="11" t="str">
        <x:v>DOC-0012</x:v>
      </x:c>
      <x:c r="N392" s="11" t="n">
        <x:f>H392*I392</x:f>
        <x:v>919.88</x:v>
      </x:c>
      <x:c r="O392" s="11" t="n">
        <x:f>ROUND(N392-J392,2)</x:f>
        <x:v>0</x:v>
      </x:c>
    </x:row>
    <x:row r="393" ht="84" customHeight="1">
      <x:c r="A393" s="8" t="str">
        <x:v>ED-0011</x:v>
      </x:c>
      <x:c r="B393" s="8" t="str">
        <x:v>Diamantino</x:v>
      </x:c>
      <x:c r="C393" s="8" t="str">
        <x:v>Alto Paraguai - campo</x:v>
      </x:c>
      <x:c r="D393" s="8" t="n">
        <x:v>11</x:v>
      </x:c>
      <x:c r="E393" s="8" t="str">
        <x:v>BATATA DOCE</x:v>
      </x:c>
      <x:c r="F393" s="8" t="str">
        <x:v>BATATA DOCE, inteira, livre de</x:v>
      </x:c>
      <x:c r="G393" s="8" t="str">
        <x:v>Quilograma</x:v>
      </x:c>
      <x:c r="H393" s="11" t="n">
        <x:v>56</x:v>
      </x:c>
      <x:c r="I393" s="11" t="n">
        <x:v>6.3</x:v>
      </x:c>
      <x:c r="J393" s="11" t="n">
        <x:v>352.8</x:v>
      </x:c>
      <x:c r="K393" s="11" t="n">
        <x:v>6</x:v>
      </x:c>
      <x:c r="L393" s="11" t="str">
        <x:v>Extração parcial do início da descrição; conferir unidade/descrição completa no PDF.</x:v>
      </x:c>
      <x:c r="M393" s="11" t="str">
        <x:v>DOC-0012</x:v>
      </x:c>
      <x:c r="N393" s="11" t="n">
        <x:f>H393*I393</x:f>
        <x:v>352.8</x:v>
      </x:c>
      <x:c r="O393" s="11" t="n">
        <x:f>ROUND(N393-J393,2)</x:f>
        <x:v>0</x:v>
      </x:c>
    </x:row>
    <x:row r="394" ht="84" customHeight="1">
      <x:c r="A394" s="8" t="str">
        <x:v>ED-0011</x:v>
      </x:c>
      <x:c r="B394" s="8" t="str">
        <x:v>Diamantino</x:v>
      </x:c>
      <x:c r="C394" s="8" t="str">
        <x:v>Alto Paraguai - campo</x:v>
      </x:c>
      <x:c r="D394" s="8" t="n">
        <x:v>13</x:v>
      </x:c>
      <x:c r="E394" s="8" t="str">
        <x:v>BETERRABA</x:v>
      </x:c>
      <x:c r="F394" s="8" t="str">
        <x:v>BETERRABA, inteira, livre de</x:v>
      </x:c>
      <x:c r="G394" s="8" t="str">
        <x:v>Quilograma</x:v>
      </x:c>
      <x:c r="H394" s="11" t="n">
        <x:v>30</x:v>
      </x:c>
      <x:c r="I394" s="11" t="n">
        <x:v>7.92</x:v>
      </x:c>
      <x:c r="J394" s="11" t="n">
        <x:v>237.6</x:v>
      </x:c>
      <x:c r="K394" s="11" t="n">
        <x:v>6</x:v>
      </x:c>
      <x:c r="L394" s="11" t="str">
        <x:v>Extração parcial do início da descrição; conferir unidade/descrição completa no PDF.</x:v>
      </x:c>
      <x:c r="M394" s="11" t="str">
        <x:v>DOC-0012</x:v>
      </x:c>
      <x:c r="N394" s="11" t="n">
        <x:f>H394*I394</x:f>
        <x:v>237.6</x:v>
      </x:c>
      <x:c r="O394" s="11" t="n">
        <x:f>ROUND(N394-J394,2)</x:f>
        <x:v>0</x:v>
      </x:c>
    </x:row>
    <x:row r="395" ht="84" customHeight="1">
      <x:c r="A395" s="8" t="str">
        <x:v>ED-0011</x:v>
      </x:c>
      <x:c r="B395" s="8" t="str">
        <x:v>Diamantino</x:v>
      </x:c>
      <x:c r="C395" s="8" t="str">
        <x:v>Alto Paraguai - campo</x:v>
      </x:c>
      <x:c r="D395" s="8" t="n">
        <x:v>14</x:v>
      </x:c>
      <x:c r="E395" s="8" t="str">
        <x:v>BOLO          SIMPLES</x:v>
      </x:c>
      <x:c r="F395" s="8" t="str">
        <x:v>BOLO          SIMPLES,          caseiro,</x:v>
      </x:c>
      <x:c r="G395" s="8" t="str">
        <x:v>Quilograma</x:v>
      </x:c>
      <x:c r="H395" s="11" t="n">
        <x:v>246</x:v>
      </x:c>
      <x:c r="I395" s="11" t="n">
        <x:v>39.49</x:v>
      </x:c>
      <x:c r="J395" s="11" t="n">
        <x:v>9714.54</x:v>
      </x:c>
      <x:c r="K395" s="11" t="n">
        <x:v>7</x:v>
      </x:c>
      <x:c r="L395" s="11" t="str">
        <x:v>Extração parcial do início da descrição; conferir unidade/descrição completa no PDF.</x:v>
      </x:c>
      <x:c r="M395" s="11" t="str">
        <x:v>DOC-0012</x:v>
      </x:c>
      <x:c r="N395" s="11" t="n">
        <x:f>H395*I395</x:f>
        <x:v>9714.54</x:v>
      </x:c>
      <x:c r="O395" s="11" t="n">
        <x:f>ROUND(N395-J395,2)</x:f>
        <x:v>0</x:v>
      </x:c>
    </x:row>
    <x:row r="396" ht="84" customHeight="1">
      <x:c r="A396" s="8" t="str">
        <x:v>ED-0011</x:v>
      </x:c>
      <x:c r="B396" s="8" t="str">
        <x:v>Diamantino</x:v>
      </x:c>
      <x:c r="C396" s="8" t="str">
        <x:v>Alto Paraguai - campo</x:v>
      </x:c>
      <x:c r="D396" s="8" t="n">
        <x:v>15</x:v>
      </x:c>
      <x:c r="E396" s="8" t="str">
        <x:v>CAFÉ TORRADO E MOÍDO</x:v>
      </x:c>
      <x:c r="F396" s="8" t="str">
        <x:v>CAFÉ TORRADO E MOÍDO, 1ª</x:v>
      </x:c>
      <x:c r="G396" s="8" t="str">
        <x:v>Unidade de</x:v>
      </x:c>
      <x:c r="H396" s="11" t="n">
        <x:v>109</x:v>
      </x:c>
      <x:c r="I396" s="11" t="n">
        <x:v>24.74</x:v>
      </x:c>
      <x:c r="J396" s="11" t="n">
        <x:v>2696.66</x:v>
      </x:c>
      <x:c r="K396" s="11" t="n">
        <x:v>7</x:v>
      </x:c>
      <x:c r="L396" s="11" t="str">
        <x:v>Extração parcial do início da descrição; conferir unidade/descrição completa no PDF.</x:v>
      </x:c>
      <x:c r="M396" s="11" t="str">
        <x:v>DOC-0012</x:v>
      </x:c>
      <x:c r="N396" s="11" t="n">
        <x:f>H396*I396</x:f>
        <x:v>2696.66</x:v>
      </x:c>
      <x:c r="O396" s="11" t="n">
        <x:f>ROUND(N396-J396,2)</x:f>
        <x:v>0</x:v>
      </x:c>
    </x:row>
    <x:row r="397" ht="84" customHeight="1">
      <x:c r="A397" s="8" t="str">
        <x:v>ED-0011</x:v>
      </x:c>
      <x:c r="B397" s="8" t="str">
        <x:v>Diamantino</x:v>
      </x:c>
      <x:c r="C397" s="8" t="str">
        <x:v>Alto Paraguai - campo</x:v>
      </x:c>
      <x:c r="D397" s="8" t="n">
        <x:v>16</x:v>
      </x:c>
      <x:c r="E397" s="8" t="str">
        <x:v>CEBOLINHA</x:v>
      </x:c>
      <x:c r="F397" s="8" t="str">
        <x:v>CEBOLINHA, verde, com folhas</x:v>
      </x:c>
      <x:c r="G397" s="8" t="str">
        <x:v>Quilograma</x:v>
      </x:c>
      <x:c r="H397" s="11" t="n">
        <x:v>61</x:v>
      </x:c>
      <x:c r="I397" s="11" t="n">
        <x:v>28.33</x:v>
      </x:c>
      <x:c r="J397" s="11" t="n">
        <x:v>1728.13</x:v>
      </x:c>
      <x:c r="K397" s="11" t="n">
        <x:v>7</x:v>
      </x:c>
      <x:c r="L397" s="11" t="str">
        <x:v>Extração parcial do início da descrição; conferir unidade/descrição completa no PDF.</x:v>
      </x:c>
      <x:c r="M397" s="11" t="str">
        <x:v>DOC-0012</x:v>
      </x:c>
      <x:c r="N397" s="11" t="n">
        <x:f>H397*I397</x:f>
        <x:v>1728.1299999999999</x:v>
      </x:c>
      <x:c r="O397" s="11" t="n">
        <x:f>ROUND(N397-J397,2)</x:f>
        <x:v>0</x:v>
      </x:c>
    </x:row>
    <x:row r="398" ht="84" customHeight="1">
      <x:c r="A398" s="8" t="str">
        <x:v>ED-0011</x:v>
      </x:c>
      <x:c r="B398" s="8" t="str">
        <x:v>Diamantino</x:v>
      </x:c>
      <x:c r="C398" s="8" t="str">
        <x:v>Alto Paraguai - campo</x:v>
      </x:c>
      <x:c r="D398" s="8" t="n">
        <x:v>17</x:v>
      </x:c>
      <x:c r="E398" s="8" t="str">
        <x:v>CENOURA</x:v>
      </x:c>
      <x:c r="F398" s="8" t="str">
        <x:v>CENOURA, inteira, livre de sujidades,</x:v>
      </x:c>
      <x:c r="G398" s="8" t="str">
        <x:v>Quilograma</x:v>
      </x:c>
      <x:c r="H398" s="11" t="n">
        <x:v>191</x:v>
      </x:c>
      <x:c r="I398" s="11" t="n">
        <x:v>8.87</x:v>
      </x:c>
      <x:c r="J398" s="11" t="n">
        <x:v>1694.17</x:v>
      </x:c>
      <x:c r="K398" s="11" t="n">
        <x:v>8</x:v>
      </x:c>
      <x:c r="L398" s="11" t="str">
        <x:v>Extração parcial do início da descrição; conferir unidade/descrição completa no PDF.</x:v>
      </x:c>
      <x:c r="M398" s="11" t="str">
        <x:v>DOC-0012</x:v>
      </x:c>
      <x:c r="N398" s="11" t="n">
        <x:f>H398*I398</x:f>
        <x:v>1694.1699999999998</x:v>
      </x:c>
      <x:c r="O398" s="11" t="n">
        <x:f>ROUND(N398-J398,2)</x:f>
        <x:v>0</x:v>
      </x:c>
    </x:row>
    <x:row r="399" ht="84" customHeight="1">
      <x:c r="A399" s="8" t="str">
        <x:v>ED-0011</x:v>
      </x:c>
      <x:c r="B399" s="8" t="str">
        <x:v>Diamantino</x:v>
      </x:c>
      <x:c r="C399" s="8" t="str">
        <x:v>Alto Paraguai - campo</x:v>
      </x:c>
      <x:c r="D399" s="8" t="n">
        <x:v>18</x:v>
      </x:c>
      <x:c r="E399" s="8" t="str">
        <x:v>COENTRO</x:v>
      </x:c>
      <x:c r="F399" s="8" t="str">
        <x:v>COENTRO, com talos e folhas</x:v>
      </x:c>
      <x:c r="G399" s="8" t="str">
        <x:v>Quilograma</x:v>
      </x:c>
      <x:c r="H399" s="11" t="n">
        <x:v>5</x:v>
      </x:c>
      <x:c r="I399" s="11" t="n">
        <x:v>32.37</x:v>
      </x:c>
      <x:c r="J399" s="11" t="n">
        <x:v>161.85</x:v>
      </x:c>
      <x:c r="K399" s="11" t="n">
        <x:v>8</x:v>
      </x:c>
      <x:c r="L399" s="11" t="str">
        <x:v>Extração parcial do início da descrição; conferir unidade/descrição completa no PDF.</x:v>
      </x:c>
      <x:c r="M399" s="11" t="str">
        <x:v>DOC-0012</x:v>
      </x:c>
      <x:c r="N399" s="11" t="n">
        <x:f>H399*I399</x:f>
        <x:v>161.85</x:v>
      </x:c>
      <x:c r="O399" s="11" t="n">
        <x:f>ROUND(N399-J399,2)</x:f>
        <x:v>0</x:v>
      </x:c>
    </x:row>
    <x:row r="400" ht="84" customHeight="1">
      <x:c r="A400" s="8" t="str">
        <x:v>ED-0011</x:v>
      </x:c>
      <x:c r="B400" s="8" t="str">
        <x:v>Diamantino</x:v>
      </x:c>
      <x:c r="C400" s="8" t="str">
        <x:v>Alto Paraguai - campo</x:v>
      </x:c>
      <x:c r="D400" s="8" t="n">
        <x:v>19</x:v>
      </x:c>
      <x:c r="E400" s="8" t="str">
        <x:v>COLORAU</x:v>
      </x:c>
      <x:c r="F400" s="8" t="str">
        <x:v>COLORAU, corante, natural de</x:v>
      </x:c>
      <x:c r="G400" s="8" t="str">
        <x:v>Unidade de</x:v>
      </x:c>
      <x:c r="H400" s="11" t="n">
        <x:v>500</x:v>
      </x:c>
      <x:c r="I400" s="11" t="n">
        <x:v>6.05</x:v>
      </x:c>
      <x:c r="J400" s="11" t="n">
        <x:v>3025</x:v>
      </x:c>
      <x:c r="K400" s="11" t="n">
        <x:v>8</x:v>
      </x:c>
      <x:c r="L400" s="11" t="str">
        <x:v>Extração parcial do início da descrição; conferir unidade/descrição completa no PDF.</x:v>
      </x:c>
      <x:c r="M400" s="11" t="str">
        <x:v>DOC-0012</x:v>
      </x:c>
      <x:c r="N400" s="11" t="n">
        <x:f>H400*I400</x:f>
        <x:v>3025</x:v>
      </x:c>
      <x:c r="O400" s="11" t="n">
        <x:f>ROUND(N400-J400,2)</x:f>
        <x:v>0</x:v>
      </x:c>
    </x:row>
    <x:row r="401" ht="84" customHeight="1">
      <x:c r="A401" s="8" t="str">
        <x:v>ED-0011</x:v>
      </x:c>
      <x:c r="B401" s="8" t="str">
        <x:v>Diamantino</x:v>
      </x:c>
      <x:c r="C401" s="8" t="str">
        <x:v>Alto Paraguai - campo</x:v>
      </x:c>
      <x:c r="D401" s="8" t="n">
        <x:v>20</x:v>
      </x:c>
      <x:c r="E401" s="8" t="str">
        <x:v>COUVE</x:v>
      </x:c>
      <x:c r="F401" s="8" t="str">
        <x:v>COUVE, manteiga com folhas inteiras,</x:v>
      </x:c>
      <x:c r="G401" s="8" t="str">
        <x:v>Quilograma</x:v>
      </x:c>
      <x:c r="H401" s="11" t="n">
        <x:v>199</x:v>
      </x:c>
      <x:c r="I401" s="11" t="n">
        <x:v>29.64</x:v>
      </x:c>
      <x:c r="J401" s="11" t="n">
        <x:v>5898.36</x:v>
      </x:c>
      <x:c r="K401" s="11" t="n">
        <x:v>8</x:v>
      </x:c>
      <x:c r="L401" s="11" t="str">
        <x:v>Extração parcial do início da descrição; conferir unidade/descrição completa no PDF.</x:v>
      </x:c>
      <x:c r="M401" s="11" t="str">
        <x:v>DOC-0012</x:v>
      </x:c>
      <x:c r="N401" s="11" t="n">
        <x:f>H401*I401</x:f>
        <x:v>5898.36</x:v>
      </x:c>
      <x:c r="O401" s="11" t="n">
        <x:f>ROUND(N401-J401,2)</x:f>
        <x:v>0</x:v>
      </x:c>
    </x:row>
    <x:row r="402" ht="84" customHeight="1">
      <x:c r="A402" s="8" t="str">
        <x:v>ED-0011</x:v>
      </x:c>
      <x:c r="B402" s="8" t="str">
        <x:v>Diamantino</x:v>
      </x:c>
      <x:c r="C402" s="8" t="str">
        <x:v>Alto Paraguai - campo</x:v>
      </x:c>
      <x:c r="D402" s="8" t="n">
        <x:v>21</x:v>
      </x:c>
      <x:c r="E402" s="8" t="str">
        <x:v>FARINHA DE MANDIOCA</x:v>
      </x:c>
      <x:c r="F402" s="8" t="str">
        <x:v>FARINHA DE MANDIOCA, do tipo</x:v>
      </x:c>
      <x:c r="G402" s="8" t="str">
        <x:v>Unidade de</x:v>
      </x:c>
      <x:c r="H402" s="11" t="n">
        <x:v>86</x:v>
      </x:c>
      <x:c r="I402" s="11" t="n">
        <x:v>14.65</x:v>
      </x:c>
      <x:c r="J402" s="11" t="n">
        <x:v>1259.9</x:v>
      </x:c>
      <x:c r="K402" s="11" t="n">
        <x:v>9</x:v>
      </x:c>
      <x:c r="L402" s="11" t="str">
        <x:v>Extração parcial do início da descrição; conferir unidade/descrição completa no PDF.</x:v>
      </x:c>
      <x:c r="M402" s="11" t="str">
        <x:v>DOC-0012</x:v>
      </x:c>
      <x:c r="N402" s="11" t="n">
        <x:f>H402*I402</x:f>
        <x:v>1259.9</x:v>
      </x:c>
      <x:c r="O402" s="11" t="n">
        <x:f>ROUND(N402-J402,2)</x:f>
        <x:v>0</x:v>
      </x:c>
    </x:row>
    <x:row r="403" ht="84" customHeight="1">
      <x:c r="A403" s="8" t="str">
        <x:v>ED-0011</x:v>
      </x:c>
      <x:c r="B403" s="8" t="str">
        <x:v>Diamantino</x:v>
      </x:c>
      <x:c r="C403" s="8" t="str">
        <x:v>Alto Paraguai - campo</x:v>
      </x:c>
      <x:c r="D403" s="8" t="n">
        <x:v>22</x:v>
      </x:c>
      <x:c r="E403" s="8" t="str">
        <x:v>INHAME</x:v>
      </x:c>
      <x:c r="F403" s="8" t="str">
        <x:v>INHAME, in natura, tamanho e</x:v>
      </x:c>
      <x:c r="G403" s="8" t="str">
        <x:v>Quilograma</x:v>
      </x:c>
      <x:c r="H403" s="11" t="n">
        <x:v>37</x:v>
      </x:c>
      <x:c r="I403" s="11" t="n">
        <x:v>19.34</x:v>
      </x:c>
      <x:c r="J403" s="11" t="n">
        <x:v>715.58</x:v>
      </x:c>
      <x:c r="K403" s="11" t="n">
        <x:v>9</x:v>
      </x:c>
      <x:c r="L403" s="11" t="str">
        <x:v>Extração parcial do início da descrição; conferir unidade/descrição completa no PDF.</x:v>
      </x:c>
      <x:c r="M403" s="11" t="str">
        <x:v>DOC-0012</x:v>
      </x:c>
      <x:c r="N403" s="11" t="n">
        <x:f>H403*I403</x:f>
        <x:v>715.58</x:v>
      </x:c>
      <x:c r="O403" s="11" t="n">
        <x:f>ROUND(N403-J403,2)</x:f>
        <x:v>0</x:v>
      </x:c>
    </x:row>
    <x:row r="404" ht="84" customHeight="1">
      <x:c r="A404" s="8" t="str">
        <x:v>ED-0011</x:v>
      </x:c>
      <x:c r="B404" s="8" t="str">
        <x:v>Diamantino</x:v>
      </x:c>
      <x:c r="C404" s="8" t="str">
        <x:v>Alto Paraguai - campo</x:v>
      </x:c>
      <x:c r="D404" s="8" t="n">
        <x:v>23</x:v>
      </x:c>
      <x:c r="E404" s="8" t="str">
        <x:v>LARANJA PÊRA</x:v>
      </x:c>
      <x:c r="F404" s="8" t="str">
        <x:v>LARANJA PÊRA, inteira, livre de</x:v>
      </x:c>
      <x:c r="G404" s="8" t="str">
        <x:v>Quilograma</x:v>
      </x:c>
      <x:c r="H404" s="11" t="n">
        <x:v>314</x:v>
      </x:c>
      <x:c r="I404" s="11" t="n">
        <x:v>8.61</x:v>
      </x:c>
      <x:c r="J404" s="11" t="n">
        <x:v>2703.54</x:v>
      </x:c>
      <x:c r="K404" s="11" t="n">
        <x:v>10</x:v>
      </x:c>
      <x:c r="L404" s="11" t="str">
        <x:v>Extração parcial do início da descrição; conferir unidade/descrição completa no PDF.</x:v>
      </x:c>
      <x:c r="M404" s="11" t="str">
        <x:v>DOC-0012</x:v>
      </x:c>
      <x:c r="N404" s="11" t="n">
        <x:f>H404*I404</x:f>
        <x:v>2703.54</x:v>
      </x:c>
      <x:c r="O404" s="11" t="n">
        <x:f>ROUND(N404-J404,2)</x:f>
        <x:v>0</x:v>
      </x:c>
    </x:row>
    <x:row r="405" ht="84" customHeight="1">
      <x:c r="A405" s="8" t="str">
        <x:v>ED-0011</x:v>
      </x:c>
      <x:c r="B405" s="8" t="str">
        <x:v>Diamantino</x:v>
      </x:c>
      <x:c r="C405" s="8" t="str">
        <x:v>Alto Paraguai - campo</x:v>
      </x:c>
      <x:c r="D405" s="8" t="n">
        <x:v>24</x:v>
      </x:c>
      <x:c r="E405" s="8" t="str">
        <x:v>LEITE               PASTEURIZADO</x:v>
      </x:c>
      <x:c r="F405" s="8" t="str">
        <x:v>LEITE               PASTEURIZADO</x:v>
      </x:c>
      <x:c r="G405" s="8" t="str">
        <x:v>Unidade de</x:v>
      </x:c>
      <x:c r="H405" s="11" t="n">
        <x:v>1791</x:v>
      </x:c>
      <x:c r="I405" s="11" t="n">
        <x:v>9.28</x:v>
      </x:c>
      <x:c r="J405" s="11" t="n">
        <x:v>16620.48</x:v>
      </x:c>
      <x:c r="K405" s="11" t="n">
        <x:v>10</x:v>
      </x:c>
      <x:c r="L405" s="11" t="str">
        <x:v>Extração parcial do início da descrição; conferir unidade/descrição completa no PDF.</x:v>
      </x:c>
      <x:c r="M405" s="11" t="str">
        <x:v>DOC-0012</x:v>
      </x:c>
      <x:c r="N405" s="11" t="n">
        <x:f>H405*I405</x:f>
        <x:v>16620.48</x:v>
      </x:c>
      <x:c r="O405" s="11" t="n">
        <x:f>ROUND(N405-J405,2)</x:f>
        <x:v>0</x:v>
      </x:c>
    </x:row>
    <x:row r="406" ht="84" customHeight="1">
      <x:c r="A406" s="8" t="str">
        <x:v>ED-0011</x:v>
      </x:c>
      <x:c r="B406" s="8" t="str">
        <x:v>Diamantino</x:v>
      </x:c>
      <x:c r="C406" s="8" t="str">
        <x:v>Alto Paraguai - campo</x:v>
      </x:c>
      <x:c r="D406" s="8" t="n">
        <x:v>25</x:v>
      </x:c>
      <x:c r="E406" s="8" t="str">
        <x:v>LIMÃO TAHITI</x:v>
      </x:c>
      <x:c r="F406" s="8" t="str">
        <x:v>LIMÃO TAHITI, inteiro, livre de</x:v>
      </x:c>
      <x:c r="G406" s="8" t="str">
        <x:v>Quilograma</x:v>
      </x:c>
      <x:c r="H406" s="11" t="n">
        <x:v>40</x:v>
      </x:c>
      <x:c r="I406" s="11" t="n">
        <x:v>12.2</x:v>
      </x:c>
      <x:c r="J406" s="11" t="n">
        <x:v>488</x:v>
      </x:c>
      <x:c r="K406" s="11" t="n">
        <x:v>10</x:v>
      </x:c>
      <x:c r="L406" s="11" t="str">
        <x:v>Extração parcial do início da descrição; conferir unidade/descrição completa no PDF.</x:v>
      </x:c>
      <x:c r="M406" s="11" t="str">
        <x:v>DOC-0012</x:v>
      </x:c>
      <x:c r="N406" s="11" t="n">
        <x:f>H406*I406</x:f>
        <x:v>488</x:v>
      </x:c>
      <x:c r="O406" s="11" t="n">
        <x:f>ROUND(N406-J406,2)</x:f>
        <x:v>0</x:v>
      </x:c>
    </x:row>
    <x:row r="407" ht="84" customHeight="1">
      <x:c r="A407" s="8" t="str">
        <x:v>ED-0011</x:v>
      </x:c>
      <x:c r="B407" s="8" t="str">
        <x:v>Diamantino</x:v>
      </x:c>
      <x:c r="C407" s="8" t="str">
        <x:v>Alto Paraguai - campo</x:v>
      </x:c>
      <x:c r="D407" s="8" t="n">
        <x:v>26</x:v>
      </x:c>
      <x:c r="E407" s="8" t="str">
        <x:v>MAMÃO FORMOSA</x:v>
      </x:c>
      <x:c r="F407" s="8" t="str">
        <x:v>MAMÃO FORMOSA, livre de</x:v>
      </x:c>
      <x:c r="G407" s="8" t="str">
        <x:v>Quilograma</x:v>
      </x:c>
      <x:c r="H407" s="11" t="n">
        <x:v>95</x:v>
      </x:c>
      <x:c r="I407" s="11" t="n">
        <x:v>10.29</x:v>
      </x:c>
      <x:c r="J407" s="11" t="n">
        <x:v>977.55</x:v>
      </x:c>
      <x:c r="K407" s="11" t="n">
        <x:v>11</x:v>
      </x:c>
      <x:c r="L407" s="11" t="str">
        <x:v>Extração parcial do início da descrição; conferir unidade/descrição completa no PDF.</x:v>
      </x:c>
      <x:c r="M407" s="11" t="str">
        <x:v>DOC-0012</x:v>
      </x:c>
      <x:c r="N407" s="11" t="n">
        <x:f>H407*I407</x:f>
        <x:v>977.55</x:v>
      </x:c>
      <x:c r="O407" s="11" t="n">
        <x:f>ROUND(N407-J407,2)</x:f>
        <x:v>0</x:v>
      </x:c>
    </x:row>
    <x:row r="408" ht="84" customHeight="1">
      <x:c r="A408" s="8" t="str">
        <x:v>ED-0011</x:v>
      </x:c>
      <x:c r="B408" s="8" t="str">
        <x:v>Diamantino</x:v>
      </x:c>
      <x:c r="C408" s="8" t="str">
        <x:v>Alto Paraguai - campo</x:v>
      </x:c>
      <x:c r="D408" s="8" t="n">
        <x:v>27</x:v>
      </x:c>
      <x:c r="E408" s="8" t="str">
        <x:v>MANDIOCA                DESCASCADA</x:v>
      </x:c>
      <x:c r="F408" s="8" t="str">
        <x:v>MANDIOCA                DESCASCADA</x:v>
      </x:c>
      <x:c r="G408" s="8" t="str">
        <x:v>Unidade de</x:v>
      </x:c>
      <x:c r="H408" s="11" t="n">
        <x:v>134</x:v>
      </x:c>
      <x:c r="I408" s="11" t="n">
        <x:v>13.07</x:v>
      </x:c>
      <x:c r="J408" s="11" t="n">
        <x:v>1751.38</x:v>
      </x:c>
      <x:c r="K408" s="11" t="n">
        <x:v>11</x:v>
      </x:c>
      <x:c r="L408" s="11" t="str">
        <x:v>Extração parcial do início da descrição; conferir unidade/descrição completa no PDF.</x:v>
      </x:c>
      <x:c r="M408" s="11" t="str">
        <x:v>DOC-0012</x:v>
      </x:c>
      <x:c r="N408" s="11" t="n">
        <x:f>H408*I408</x:f>
        <x:v>1751.38</x:v>
      </x:c>
      <x:c r="O408" s="11" t="n">
        <x:f>ROUND(N408-J408,2)</x:f>
        <x:v>0</x:v>
      </x:c>
    </x:row>
    <x:row r="409" ht="84" customHeight="1">
      <x:c r="A409" s="8" t="str">
        <x:v>ED-0011</x:v>
      </x:c>
      <x:c r="B409" s="8" t="str">
        <x:v>Diamantino</x:v>
      </x:c>
      <x:c r="C409" s="8" t="str">
        <x:v>Alto Paraguai - campo</x:v>
      </x:c>
      <x:c r="D409" s="8" t="n">
        <x:v>28</x:v>
      </x:c>
      <x:c r="E409" s="8" t="str">
        <x:v>MANTEIGA PURA COM SAL</x:v>
      </x:c>
      <x:c r="F409" s="8" t="str">
        <x:v>MANTEIGA PURA COM SAL,</x:v>
      </x:c>
      <x:c r="G409" s="8" t="str">
        <x:v>Unidade de</x:v>
      </x:c>
      <x:c r="H409" s="11" t="n">
        <x:v>177</x:v>
      </x:c>
      <x:c r="I409" s="11" t="n">
        <x:v>36.11</x:v>
      </x:c>
      <x:c r="J409" s="11" t="n">
        <x:v>6391.47</x:v>
      </x:c>
      <x:c r="K409" s="11" t="n">
        <x:v>11</x:v>
      </x:c>
      <x:c r="L409" s="11" t="str">
        <x:v>Extração parcial do início da descrição; conferir unidade/descrição completa no PDF.</x:v>
      </x:c>
      <x:c r="M409" s="11" t="str">
        <x:v>DOC-0012</x:v>
      </x:c>
      <x:c r="N409" s="11" t="n">
        <x:f>H409*I409</x:f>
        <x:v>6391.47</x:v>
      </x:c>
      <x:c r="O409" s="11" t="n">
        <x:f>ROUND(N409-J409,2)</x:f>
        <x:v>0</x:v>
      </x:c>
    </x:row>
    <x:row r="410" ht="84" customHeight="1">
      <x:c r="A410" s="8" t="str">
        <x:v>ED-0011</x:v>
      </x:c>
      <x:c r="B410" s="8" t="str">
        <x:v>Diamantino</x:v>
      </x:c>
      <x:c r="C410" s="8" t="str">
        <x:v>Alto Paraguai - campo</x:v>
      </x:c>
      <x:c r="D410" s="8" t="n">
        <x:v>29</x:v>
      </x:c>
      <x:c r="E410" s="8" t="str">
        <x:v>MELANCIA</x:v>
      </x:c>
      <x:c r="F410" s="8" t="str">
        <x:v>MELANCIA,          inteira,    livre    de</x:v>
      </x:c>
      <x:c r="G410" s="8" t="str">
        <x:v>Quilograma</x:v>
      </x:c>
      <x:c r="H410" s="11" t="n">
        <x:v>166</x:v>
      </x:c>
      <x:c r="I410" s="11" t="n">
        <x:v>4.72</x:v>
      </x:c>
      <x:c r="J410" s="11" t="n">
        <x:v>783.52</x:v>
      </x:c>
      <x:c r="K410" s="11" t="n">
        <x:v>12</x:v>
      </x:c>
      <x:c r="L410" s="11" t="str">
        <x:v>Extração parcial do início da descrição; conferir unidade/descrição completa no PDF.</x:v>
      </x:c>
      <x:c r="M410" s="11" t="str">
        <x:v>DOC-0012</x:v>
      </x:c>
      <x:c r="N410" s="11" t="n">
        <x:f>H410*I410</x:f>
        <x:v>783.52</x:v>
      </x:c>
      <x:c r="O410" s="11" t="n">
        <x:f>ROUND(N410-J410,2)</x:f>
        <x:v>0</x:v>
      </x:c>
    </x:row>
    <x:row r="411" ht="84" customHeight="1">
      <x:c r="A411" s="8" t="str">
        <x:v>ED-0011</x:v>
      </x:c>
      <x:c r="B411" s="8" t="str">
        <x:v>Diamantino</x:v>
      </x:c>
      <x:c r="C411" s="8" t="str">
        <x:v>Alto Paraguai - campo</x:v>
      </x:c>
      <x:c r="D411" s="8" t="n">
        <x:v>32</x:v>
      </x:c>
      <x:c r="E411" s="8" t="str">
        <x:v>PEIXE PINTADO FILÉ</x:v>
      </x:c>
      <x:c r="F411" s="8" t="str">
        <x:v>PEIXE PINTADO FILÉ, de água</x:v>
      </x:c>
      <x:c r="G411" s="8" t="str">
        <x:v>Unidade de</x:v>
      </x:c>
      <x:c r="H411" s="11" t="n">
        <x:v>149</x:v>
      </x:c>
      <x:c r="I411" s="11" t="n">
        <x:v>64.99</x:v>
      </x:c>
      <x:c r="J411" s="11" t="n">
        <x:v>9683.51</x:v>
      </x:c>
      <x:c r="K411" s="11" t="n">
        <x:v>12</x:v>
      </x:c>
      <x:c r="L411" s="11" t="str">
        <x:v>Extração parcial do início da descrição; conferir unidade/descrição completa no PDF.</x:v>
      </x:c>
      <x:c r="M411" s="11" t="str">
        <x:v>DOC-0012</x:v>
      </x:c>
      <x:c r="N411" s="11" t="n">
        <x:f>H411*I411</x:f>
        <x:v>9683.509999999998</x:v>
      </x:c>
      <x:c r="O411" s="11" t="n">
        <x:f>ROUND(N411-J411,2)</x:f>
        <x:v>0</x:v>
      </x:c>
    </x:row>
    <x:row r="412" ht="84" customHeight="1">
      <x:c r="A412" s="8" t="str">
        <x:v>ED-0011</x:v>
      </x:c>
      <x:c r="B412" s="8" t="str">
        <x:v>Diamantino</x:v>
      </x:c>
      <x:c r="C412" s="8" t="str">
        <x:v>Alto Paraguai - campo</x:v>
      </x:c>
      <x:c r="D412" s="8" t="n">
        <x:v>33</x:v>
      </x:c>
      <x:c r="E412" s="8" t="str">
        <x:v>PEPINO</x:v>
      </x:c>
      <x:c r="F412" s="8" t="str">
        <x:v>PEPINO, inteiro, livre de sujidades,</x:v>
      </x:c>
      <x:c r="G412" s="8" t="str">
        <x:v>Quilograma</x:v>
      </x:c>
      <x:c r="H412" s="11" t="n">
        <x:v>40</x:v>
      </x:c>
      <x:c r="I412" s="11" t="n">
        <x:v>8.4</x:v>
      </x:c>
      <x:c r="J412" s="11" t="n">
        <x:v>336</x:v>
      </x:c>
      <x:c r="K412" s="11" t="n">
        <x:v>13</x:v>
      </x:c>
      <x:c r="L412" s="11" t="str">
        <x:v>Extração parcial do início da descrição; conferir unidade/descrição completa no PDF.</x:v>
      </x:c>
      <x:c r="M412" s="11" t="str">
        <x:v>DOC-0012</x:v>
      </x:c>
      <x:c r="N412" s="11" t="n">
        <x:f>H412*I412</x:f>
        <x:v>336</x:v>
      </x:c>
      <x:c r="O412" s="11" t="n">
        <x:f>ROUND(N412-J412,2)</x:f>
        <x:v>0</x:v>
      </x:c>
    </x:row>
    <x:row r="413" ht="84" customHeight="1">
      <x:c r="A413" s="8" t="str">
        <x:v>ED-0011</x:v>
      </x:c>
      <x:c r="B413" s="8" t="str">
        <x:v>Diamantino</x:v>
      </x:c>
      <x:c r="C413" s="8" t="str">
        <x:v>Alto Paraguai - campo</x:v>
      </x:c>
      <x:c r="D413" s="8" t="n">
        <x:v>34</x:v>
      </x:c>
      <x:c r="E413" s="8" t="str">
        <x:v>PIMENTA DE CHEIRO</x:v>
      </x:c>
      <x:c r="F413" s="8" t="str">
        <x:v>PIMENTA DE CHEIRO, inteira, livre</x:v>
      </x:c>
      <x:c r="G413" s="8" t="str">
        <x:v>Quilograma</x:v>
      </x:c>
      <x:c r="H413" s="11" t="n">
        <x:v>11</x:v>
      </x:c>
      <x:c r="I413" s="11" t="n">
        <x:v>55.12</x:v>
      </x:c>
      <x:c r="J413" s="11" t="n">
        <x:v>606.32</x:v>
      </x:c>
      <x:c r="K413" s="11" t="n">
        <x:v>13</x:v>
      </x:c>
      <x:c r="L413" s="11" t="str">
        <x:v>Extração parcial do início da descrição; conferir unidade/descrição completa no PDF.</x:v>
      </x:c>
      <x:c r="M413" s="11" t="str">
        <x:v>DOC-0012</x:v>
      </x:c>
      <x:c r="N413" s="11" t="n">
        <x:f>H413*I413</x:f>
        <x:v>606.3199999999999</x:v>
      </x:c>
      <x:c r="O413" s="11" t="n">
        <x:f>ROUND(N413-J413,2)</x:f>
        <x:v>0</x:v>
      </x:c>
    </x:row>
    <x:row r="414" ht="84" customHeight="1">
      <x:c r="A414" s="8" t="str">
        <x:v>ED-0011</x:v>
      </x:c>
      <x:c r="B414" s="8" t="str">
        <x:v>Diamantino</x:v>
      </x:c>
      <x:c r="C414" s="8" t="str">
        <x:v>Alto Paraguai - campo</x:v>
      </x:c>
      <x:c r="D414" s="8" t="n">
        <x:v>35</x:v>
      </x:c>
      <x:c r="E414" s="8" t="str">
        <x:v>PIMENTÃO VERDE</x:v>
      </x:c>
      <x:c r="F414" s="8" t="str">
        <x:v>PIMENTÃO VERDE, inteiro, livre de</x:v>
      </x:c>
      <x:c r="G414" s="8" t="str">
        <x:v>Quilograma</x:v>
      </x:c>
      <x:c r="H414" s="11" t="n">
        <x:v>10</x:v>
      </x:c>
      <x:c r="I414" s="11" t="n">
        <x:v>14.11</x:v>
      </x:c>
      <x:c r="J414" s="11" t="n">
        <x:v>141.1</x:v>
      </x:c>
      <x:c r="K414" s="11" t="n">
        <x:v>13</x:v>
      </x:c>
      <x:c r="L414" s="11" t="str">
        <x:v>Extração parcial do início da descrição; conferir unidade/descrição completa no PDF.</x:v>
      </x:c>
      <x:c r="M414" s="11" t="str">
        <x:v>DOC-0012</x:v>
      </x:c>
      <x:c r="N414" s="11" t="n">
        <x:f>H414*I414</x:f>
        <x:v>141.1</x:v>
      </x:c>
      <x:c r="O414" s="11" t="n">
        <x:f>ROUND(N414-J414,2)</x:f>
        <x:v>0</x:v>
      </x:c>
    </x:row>
    <x:row r="415" ht="84" customHeight="1">
      <x:c r="A415" s="8" t="str">
        <x:v>ED-0011</x:v>
      </x:c>
      <x:c r="B415" s="8" t="str">
        <x:v>Diamantino</x:v>
      </x:c>
      <x:c r="C415" s="8" t="str">
        <x:v>Alto Paraguai - campo</x:v>
      </x:c>
      <x:c r="D415" s="8" t="n">
        <x:v>36</x:v>
      </x:c>
      <x:c r="E415" s="8" t="str">
        <x:v>POLPA DE ABACAXI</x:v>
      </x:c>
      <x:c r="F415" s="8" t="str">
        <x:v>POLPA DE ABACAXI, SEM adição</x:v>
      </x:c>
      <x:c r="G415" s="8" t="str">
        <x:v>Unidade de</x:v>
      </x:c>
      <x:c r="H415" s="11" t="n">
        <x:v>144</x:v>
      </x:c>
      <x:c r="I415" s="11" t="n">
        <x:v>44.08</x:v>
      </x:c>
      <x:c r="J415" s="11" t="n">
        <x:v>6347.52</x:v>
      </x:c>
      <x:c r="K415" s="11" t="n">
        <x:v>14</x:v>
      </x:c>
      <x:c r="L415" s="11" t="str">
        <x:v>Extração parcial do início da descrição; conferir unidade/descrição completa no PDF.</x:v>
      </x:c>
      <x:c r="M415" s="11" t="str">
        <x:v>DOC-0012</x:v>
      </x:c>
      <x:c r="N415" s="11" t="n">
        <x:f>H415*I415</x:f>
        <x:v>6347.5199999999995</x:v>
      </x:c>
      <x:c r="O415" s="11" t="n">
        <x:f>ROUND(N415-J415,2)</x:f>
        <x:v>0</x:v>
      </x:c>
    </x:row>
    <x:row r="416" ht="84" customHeight="1">
      <x:c r="A416" s="8" t="str">
        <x:v>ED-0011</x:v>
      </x:c>
      <x:c r="B416" s="8" t="str">
        <x:v>Diamantino</x:v>
      </x:c>
      <x:c r="C416" s="8" t="str">
        <x:v>Alto Paraguai - campo</x:v>
      </x:c>
      <x:c r="D416" s="8" t="n">
        <x:v>37</x:v>
      </x:c>
      <x:c r="E416" s="8" t="str">
        <x:v>POLPA DE ACEROLA</x:v>
      </x:c>
      <x:c r="F416" s="8" t="str">
        <x:v>POLPA DE ACEROLA, SEM adição</x:v>
      </x:c>
      <x:c r="G416" s="8" t="str">
        <x:v>Unidade de</x:v>
      </x:c>
      <x:c r="H416" s="11" t="n">
        <x:v>144</x:v>
      </x:c>
      <x:c r="I416" s="11" t="n">
        <x:v>43.37</x:v>
      </x:c>
      <x:c r="J416" s="11" t="n">
        <x:v>6245.28</x:v>
      </x:c>
      <x:c r="K416" s="11" t="n">
        <x:v>14</x:v>
      </x:c>
      <x:c r="L416" s="11" t="str">
        <x:v>Extração parcial do início da descrição; conferir unidade/descrição completa no PDF.</x:v>
      </x:c>
      <x:c r="M416" s="11" t="str">
        <x:v>DOC-0012</x:v>
      </x:c>
      <x:c r="N416" s="11" t="n">
        <x:f>H416*I416</x:f>
        <x:v>6245.28</x:v>
      </x:c>
      <x:c r="O416" s="11" t="n">
        <x:f>ROUND(N416-J416,2)</x:f>
        <x:v>0</x:v>
      </x:c>
    </x:row>
    <x:row r="417" ht="84" customHeight="1">
      <x:c r="A417" s="8" t="str">
        <x:v>ED-0011</x:v>
      </x:c>
      <x:c r="B417" s="8" t="str">
        <x:v>Diamantino</x:v>
      </x:c>
      <x:c r="C417" s="8" t="str">
        <x:v>Alto Paraguai - campo</x:v>
      </x:c>
      <x:c r="D417" s="8" t="n">
        <x:v>38</x:v>
      </x:c>
      <x:c r="E417" s="8" t="str">
        <x:v>POLPA DE CAJÚ</x:v>
      </x:c>
      <x:c r="F417" s="8" t="str">
        <x:v>POLPA DE CAJÚ, SEM adição de</x:v>
      </x:c>
      <x:c r="G417" s="8" t="str">
        <x:v>Unidade de</x:v>
      </x:c>
      <x:c r="H417" s="11" t="n">
        <x:v>143</x:v>
      </x:c>
      <x:c r="I417" s="11" t="n">
        <x:v>44.8</x:v>
      </x:c>
      <x:c r="J417" s="11" t="n">
        <x:v>6406.4</x:v>
      </x:c>
      <x:c r="K417" s="11" t="n">
        <x:v>15</x:v>
      </x:c>
      <x:c r="L417" s="11" t="str">
        <x:v>Extração parcial do início da descrição; conferir unidade/descrição completa no PDF.</x:v>
      </x:c>
      <x:c r="M417" s="11" t="str">
        <x:v>DOC-0012</x:v>
      </x:c>
      <x:c r="N417" s="11" t="n">
        <x:f>H417*I417</x:f>
        <x:v>6406.4</x:v>
      </x:c>
      <x:c r="O417" s="11" t="n">
        <x:f>ROUND(N417-J417,2)</x:f>
        <x:v>0</x:v>
      </x:c>
    </x:row>
    <x:row r="418" ht="84" customHeight="1">
      <x:c r="A418" s="8" t="str">
        <x:v>ED-0011</x:v>
      </x:c>
      <x:c r="B418" s="8" t="str">
        <x:v>Diamantino</x:v>
      </x:c>
      <x:c r="C418" s="8" t="str">
        <x:v>Alto Paraguai - campo</x:v>
      </x:c>
      <x:c r="D418" s="8" t="n">
        <x:v>39</x:v>
      </x:c>
      <x:c r="E418" s="8" t="str">
        <x:v>PONCÃ</x:v>
      </x:c>
      <x:c r="F418" s="8" t="str">
        <x:v>PONCÃ, inteiro, livre de sujidades,</x:v>
      </x:c>
      <x:c r="G418" s="8" t="str">
        <x:v>Quilograma</x:v>
      </x:c>
      <x:c r="H418" s="11" t="n">
        <x:v>51</x:v>
      </x:c>
      <x:c r="I418" s="11" t="n">
        <x:v>13.16</x:v>
      </x:c>
      <x:c r="J418" s="11" t="n">
        <x:v>671.16</x:v>
      </x:c>
      <x:c r="K418" s="11" t="n">
        <x:v>15</x:v>
      </x:c>
      <x:c r="L418" s="11" t="str">
        <x:v>Extração parcial do início da descrição; conferir unidade/descrição completa no PDF.</x:v>
      </x:c>
      <x:c r="M418" s="11" t="str">
        <x:v>DOC-0012</x:v>
      </x:c>
      <x:c r="N418" s="11" t="n">
        <x:f>H418*I418</x:f>
        <x:v>671.16</x:v>
      </x:c>
      <x:c r="O418" s="11" t="n">
        <x:f>ROUND(N418-J418,2)</x:f>
        <x:v>0</x:v>
      </x:c>
    </x:row>
    <x:row r="419" ht="84" customHeight="1">
      <x:c r="A419" s="8" t="str">
        <x:v>ED-0011</x:v>
      </x:c>
      <x:c r="B419" s="8" t="str">
        <x:v>Diamantino</x:v>
      </x:c>
      <x:c r="C419" s="8" t="str">
        <x:v>Alto Paraguai - campo</x:v>
      </x:c>
      <x:c r="D419" s="8" t="n">
        <x:v>40</x:v>
      </x:c>
      <x:c r="E419" s="8" t="str">
        <x:v>QUEIJO        MUSSARELA</x:v>
      </x:c>
      <x:c r="F419" s="8" t="str">
        <x:v>QUEIJO        MUSSARELA,           obtido</x:v>
      </x:c>
      <x:c r="G419" s="8" t="str">
        <x:v>Quilograma</x:v>
      </x:c>
      <x:c r="H419" s="11" t="n">
        <x:v>75</x:v>
      </x:c>
      <x:c r="I419" s="11" t="n">
        <x:v>61.2</x:v>
      </x:c>
      <x:c r="J419" s="11" t="n">
        <x:v>4590</x:v>
      </x:c>
      <x:c r="K419" s="11" t="n">
        <x:v>15</x:v>
      </x:c>
      <x:c r="L419" s="11" t="str">
        <x:v>Extração parcial do início da descrição; conferir unidade/descrição completa no PDF.</x:v>
      </x:c>
      <x:c r="M419" s="11" t="str">
        <x:v>DOC-0012</x:v>
      </x:c>
      <x:c r="N419" s="11" t="n">
        <x:f>H419*I419</x:f>
        <x:v>4590</x:v>
      </x:c>
      <x:c r="O419" s="11" t="n">
        <x:f>ROUND(N419-J419,2)</x:f>
        <x:v>0</x:v>
      </x:c>
    </x:row>
    <x:row r="420" ht="84" customHeight="1">
      <x:c r="A420" s="8" t="str">
        <x:v>ED-0011</x:v>
      </x:c>
      <x:c r="B420" s="8" t="str">
        <x:v>Diamantino</x:v>
      </x:c>
      <x:c r="C420" s="8" t="str">
        <x:v>Alto Paraguai - campo</x:v>
      </x:c>
      <x:c r="D420" s="8" t="n">
        <x:v>41</x:v>
      </x:c>
      <x:c r="E420" s="8" t="str">
        <x:v>REPOLHO               BRANCO/VERDE</x:v>
      </x:c>
      <x:c r="F420" s="8" t="str">
        <x:v>REPOLHO               BRANCO/VERDE,</x:v>
      </x:c>
      <x:c r="G420" s="8" t="str">
        <x:v>Quilograma</x:v>
      </x:c>
      <x:c r="H420" s="11" t="n">
        <x:v>166</x:v>
      </x:c>
      <x:c r="I420" s="11" t="n">
        <x:v>6.98</x:v>
      </x:c>
      <x:c r="J420" s="11" t="n">
        <x:v>1158.68</x:v>
      </x:c>
      <x:c r="K420" s="11" t="n">
        <x:v>16</x:v>
      </x:c>
      <x:c r="L420" s="11" t="str">
        <x:v>Extração parcial do início da descrição; conferir unidade/descrição completa no PDF.</x:v>
      </x:c>
      <x:c r="M420" s="11" t="str">
        <x:v>DOC-0012</x:v>
      </x:c>
      <x:c r="N420" s="11" t="n">
        <x:f>H420*I420</x:f>
        <x:v>1158.68</x:v>
      </x:c>
      <x:c r="O420" s="11" t="n">
        <x:f>ROUND(N420-J420,2)</x:f>
        <x:v>0</x:v>
      </x:c>
    </x:row>
    <x:row r="421" ht="84" customHeight="1">
      <x:c r="A421" s="8" t="str">
        <x:v>ED-0011</x:v>
      </x:c>
      <x:c r="B421" s="8" t="str">
        <x:v>Diamantino</x:v>
      </x:c>
      <x:c r="C421" s="8" t="str">
        <x:v>Alto Paraguai - campo</x:v>
      </x:c>
      <x:c r="D421" s="8" t="n">
        <x:v>42</x:v>
      </x:c>
      <x:c r="E421" s="8" t="str">
        <x:v>REQUEIJÃO CREMOSO</x:v>
      </x:c>
      <x:c r="F421" s="8" t="str">
        <x:v>REQUEIJÃO CREMOSO, produzido</x:v>
      </x:c>
      <x:c r="G421" s="8" t="str">
        <x:v>Unidade de</x:v>
      </x:c>
      <x:c r="H421" s="11" t="n">
        <x:v>92</x:v>
      </x:c>
      <x:c r="I421" s="11" t="n">
        <x:v>11.9</x:v>
      </x:c>
      <x:c r="J421" s="11" t="n">
        <x:v>1094.8</x:v>
      </x:c>
      <x:c r="K421" s="11" t="n">
        <x:v>16</x:v>
      </x:c>
      <x:c r="L421" s="11" t="str">
        <x:v>Extração parcial do início da descrição; conferir unidade/descrição completa no PDF.</x:v>
      </x:c>
      <x:c r="M421" s="11" t="str">
        <x:v>DOC-0012</x:v>
      </x:c>
      <x:c r="N421" s="11" t="n">
        <x:f>H421*I421</x:f>
        <x:v>1094.8</x:v>
      </x:c>
      <x:c r="O421" s="11" t="n">
        <x:f>ROUND(N421-J421,2)</x:f>
        <x:v>0</x:v>
      </x:c>
    </x:row>
    <x:row r="422" ht="84" customHeight="1">
      <x:c r="A422" s="8" t="str">
        <x:v>ED-0011</x:v>
      </x:c>
      <x:c r="B422" s="8" t="str">
        <x:v>Diamantino</x:v>
      </x:c>
      <x:c r="C422" s="8" t="str">
        <x:v>Alto Paraguai - campo</x:v>
      </x:c>
      <x:c r="D422" s="8" t="n">
        <x:v>43</x:v>
      </x:c>
      <x:c r="E422" s="8" t="str">
        <x:v>RÚCULA</x:v>
      </x:c>
      <x:c r="F422" s="8" t="str">
        <x:v>RÚCULA, com folhas inteiras, livre de</x:v>
      </x:c>
      <x:c r="G422" s="8" t="str">
        <x:v>Quilograma</x:v>
      </x:c>
      <x:c r="H422" s="11" t="n">
        <x:v>90</x:v>
      </x:c>
      <x:c r="I422" s="11" t="n">
        <x:v>26.25</x:v>
      </x:c>
      <x:c r="J422" s="11" t="n">
        <x:v>2362.5</x:v>
      </x:c>
      <x:c r="K422" s="11" t="n">
        <x:v>17</x:v>
      </x:c>
      <x:c r="L422" s="11" t="str">
        <x:v>Extração parcial do início da descrição; conferir unidade/descrição completa no PDF.</x:v>
      </x:c>
      <x:c r="M422" s="11" t="str">
        <x:v>DOC-0012</x:v>
      </x:c>
      <x:c r="N422" s="11" t="n">
        <x:f>H422*I422</x:f>
        <x:v>2362.5</x:v>
      </x:c>
      <x:c r="O422" s="11" t="n">
        <x:f>ROUND(N422-J422,2)</x:f>
        <x:v>0</x:v>
      </x:c>
    </x:row>
    <x:row r="423" ht="84" customHeight="1">
      <x:c r="A423" s="8" t="str">
        <x:v>ED-0011</x:v>
      </x:c>
      <x:c r="B423" s="8" t="str">
        <x:v>Diamantino</x:v>
      </x:c>
      <x:c r="C423" s="8" t="str">
        <x:v>Alto Paraguai - campo</x:v>
      </x:c>
      <x:c r="D423" s="8" t="n">
        <x:v>44</x:v>
      </x:c>
      <x:c r="E423" s="8" t="str">
        <x:v>SALSA</x:v>
      </x:c>
      <x:c r="F423" s="8" t="str">
        <x:v>SALSA, com talos e folhas inteiros,</x:v>
      </x:c>
      <x:c r="G423" s="8" t="str">
        <x:v>Quilograma</x:v>
      </x:c>
      <x:c r="H423" s="11" t="n">
        <x:v>51</x:v>
      </x:c>
      <x:c r="I423" s="11" t="n">
        <x:v>27.83</x:v>
      </x:c>
      <x:c r="J423" s="11" t="n">
        <x:v>1419.33</x:v>
      </x:c>
      <x:c r="K423" s="11" t="n">
        <x:v>17</x:v>
      </x:c>
      <x:c r="L423" s="11" t="str">
        <x:v>Extração parcial do início da descrição; conferir unidade/descrição completa no PDF.</x:v>
      </x:c>
      <x:c r="M423" s="11" t="str">
        <x:v>DOC-0012</x:v>
      </x:c>
      <x:c r="N423" s="11" t="n">
        <x:f>H423*I423</x:f>
        <x:v>1419.33</x:v>
      </x:c>
      <x:c r="O423" s="11" t="n">
        <x:f>ROUND(N423-J423,2)</x:f>
        <x:v>0</x:v>
      </x:c>
    </x:row>
    <x:row r="424" ht="84" customHeight="1">
      <x:c r="A424" s="8" t="str">
        <x:v>ED-0011</x:v>
      </x:c>
      <x:c r="B424" s="8" t="str">
        <x:v>Diamantino</x:v>
      </x:c>
      <x:c r="C424" s="8" t="str">
        <x:v>Alto Paraguai - campo</x:v>
      </x:c>
      <x:c r="D424" s="8" t="n">
        <x:v>45</x:v>
      </x:c>
      <x:c r="E424" s="8" t="str">
        <x:v>TOMATE SALADA</x:v>
      </x:c>
      <x:c r="F424" s="8" t="str">
        <x:v>TOMATE SALADA, inteiros, sem</x:v>
      </x:c>
      <x:c r="G424" s="8" t="str">
        <x:v>Quilograma</x:v>
      </x:c>
      <x:c r="H424" s="11" t="n">
        <x:v>164</x:v>
      </x:c>
      <x:c r="I424" s="11" t="n">
        <x:v>12.51</x:v>
      </x:c>
      <x:c r="J424" s="11" t="n">
        <x:v>2051.64</x:v>
      </x:c>
      <x:c r="K424" s="11" t="n">
        <x:v>17</x:v>
      </x:c>
      <x:c r="L424" s="11" t="str">
        <x:v>Extração parcial do início da descrição; conferir unidade/descrição completa no PDF.</x:v>
      </x:c>
      <x:c r="M424" s="11" t="str">
        <x:v>DOC-0012</x:v>
      </x:c>
      <x:c r="N424" s="11" t="n">
        <x:f>H424*I424</x:f>
        <x:v>2051.64</x:v>
      </x:c>
      <x:c r="O424" s="11" t="n">
        <x:f>ROUND(N424-J424,2)</x:f>
        <x:v>0</x:v>
      </x:c>
    </x:row>
    <x:row r="425" ht="84" customHeight="1">
      <x:c r="A425" s="8" t="str">
        <x:v>ED-0011</x:v>
      </x:c>
      <x:c r="B425" s="8" t="str">
        <x:v>Diamantino</x:v>
      </x:c>
      <x:c r="C425" s="8" t="str">
        <x:v>Alto Paraguai - campo</x:v>
      </x:c>
      <x:c r="D425" s="8" t="n">
        <x:v>46</x:v>
      </x:c>
      <x:c r="E425" s="8" t="str">
        <x:v>VAGEM</x:v>
      </x:c>
      <x:c r="F425" s="8" t="str">
        <x:v>VAGEM, inteira, livre de sujidades,</x:v>
      </x:c>
      <x:c r="G425" s="8" t="str">
        <x:v>Quilograma</x:v>
      </x:c>
      <x:c r="H425" s="11" t="n">
        <x:v>47</x:v>
      </x:c>
      <x:c r="I425" s="11" t="n">
        <x:v>31.48</x:v>
      </x:c>
      <x:c r="J425" s="11" t="n">
        <x:v>1479.56</x:v>
      </x:c>
      <x:c r="K425" s="11" t="n">
        <x:v>18</x:v>
      </x:c>
      <x:c r="L425" s="11" t="str">
        <x:v>Extração parcial do início da descrição; conferir unidade/descrição completa no PDF.</x:v>
      </x:c>
      <x:c r="M425" s="11" t="str">
        <x:v>DOC-0012</x:v>
      </x:c>
      <x:c r="N425" s="11" t="n">
        <x:f>H425*I425</x:f>
        <x:v>1479.56</x:v>
      </x:c>
      <x:c r="O425" s="11" t="n">
        <x:f>ROUND(N425-J425,2)</x:f>
        <x:v>0</x:v>
      </x:c>
    </x:row>
    <x:row r="426" ht="84" customHeight="1">
      <x:c r="A426" s="8" t="str">
        <x:v>ED-0012</x:v>
      </x:c>
      <x:c r="B426" s="8" t="str">
        <x:v>Diamantino</x:v>
      </x:c>
      <x:c r="C426" s="8" t="str">
        <x:v>Diamantino</x:v>
      </x:c>
      <x:c r="D426" s="8" t="n">
        <x:v>1</x:v>
      </x:c>
      <x:c r="E426" s="8" t="str">
        <x:v>ABACATE</x:v>
      </x:c>
      <x:c r="F426" s="8" t="str">
        <x:v>ABACATE, inteiro, livre de sujidades,</x:v>
      </x:c>
      <x:c r="G426" s="8" t="str">
        <x:v>Quilograma</x:v>
      </x:c>
      <x:c r="H426" s="11" t="n">
        <x:v>78</x:v>
      </x:c>
      <x:c r="I426" s="11" t="n">
        <x:v>20.5</x:v>
      </x:c>
      <x:c r="J426" s="11" t="n">
        <x:v>1599</x:v>
      </x:c>
      <x:c r="K426" s="11" t="n">
        <x:v>3</x:v>
      </x:c>
      <x:c r="L426" s="11" t="str">
        <x:v>Extração parcial do início da descrição; conferir unidade/descrição completa no PDF.</x:v>
      </x:c>
      <x:c r="M426" s="11" t="str">
        <x:v>DOC-0013</x:v>
      </x:c>
      <x:c r="N426" s="11" t="n">
        <x:f>H426*I426</x:f>
        <x:v>1599</x:v>
      </x:c>
      <x:c r="O426" s="11" t="n">
        <x:f>ROUND(N426-J426,2)</x:f>
        <x:v>0</x:v>
      </x:c>
    </x:row>
    <x:row r="427" ht="84" customHeight="1">
      <x:c r="A427" s="8" t="str">
        <x:v>ED-0012</x:v>
      </x:c>
      <x:c r="B427" s="8" t="str">
        <x:v>Diamantino</x:v>
      </x:c>
      <x:c r="C427" s="8" t="str">
        <x:v>Diamantino</x:v>
      </x:c>
      <x:c r="D427" s="8" t="n">
        <x:v>2</x:v>
      </x:c>
      <x:c r="E427" s="8" t="str">
        <x:v>ABACAXI PÉROLA</x:v>
      </x:c>
      <x:c r="F427" s="8" t="str">
        <x:v>ABACAXI PÉROLA, inteiro, livre de</x:v>
      </x:c>
      <x:c r="G427" s="8" t="str">
        <x:v>Quilograma</x:v>
      </x:c>
      <x:c r="H427" s="11" t="n">
        <x:v>1311</x:v>
      </x:c>
      <x:c r="I427" s="11" t="n">
        <x:v>10.25</x:v>
      </x:c>
      <x:c r="J427" s="11" t="n">
        <x:v>13437.75</x:v>
      </x:c>
      <x:c r="K427" s="11" t="n">
        <x:v>3</x:v>
      </x:c>
      <x:c r="L427" s="11" t="str">
        <x:v>Extração parcial do início da descrição; conferir unidade/descrição completa no PDF.</x:v>
      </x:c>
      <x:c r="M427" s="11" t="str">
        <x:v>DOC-0013</x:v>
      </x:c>
      <x:c r="N427" s="11" t="n">
        <x:f>H427*I427</x:f>
        <x:v>13437.75</x:v>
      </x:c>
      <x:c r="O427" s="11" t="n">
        <x:f>ROUND(N427-J427,2)</x:f>
        <x:v>0</x:v>
      </x:c>
    </x:row>
    <x:row r="428" ht="84" customHeight="1">
      <x:c r="A428" s="8" t="str">
        <x:v>ED-0012</x:v>
      </x:c>
      <x:c r="B428" s="8" t="str">
        <x:v>Diamantino</x:v>
      </x:c>
      <x:c r="C428" s="8" t="str">
        <x:v>Diamantino</x:v>
      </x:c>
      <x:c r="D428" s="8" t="n">
        <x:v>3</x:v>
      </x:c>
      <x:c r="E428" s="8" t="str">
        <x:v>ABÓBORA CABOTIÃ</x:v>
      </x:c>
      <x:c r="F428" s="8" t="str">
        <x:v>ABÓBORA CABOTIÃ, inteira, livre</x:v>
      </x:c>
      <x:c r="G428" s="8" t="str">
        <x:v>Quilograma</x:v>
      </x:c>
      <x:c r="H428" s="11" t="n">
        <x:v>835</x:v>
      </x:c>
      <x:c r="I428" s="11" t="n">
        <x:v>6.21</x:v>
      </x:c>
      <x:c r="J428" s="11" t="n">
        <x:v>5185.35</x:v>
      </x:c>
      <x:c r="K428" s="11" t="n">
        <x:v>3</x:v>
      </x:c>
      <x:c r="L428" s="11" t="str">
        <x:v>Extração parcial do início da descrição; conferir unidade/descrição completa no PDF.</x:v>
      </x:c>
      <x:c r="M428" s="11" t="str">
        <x:v>DOC-0013</x:v>
      </x:c>
      <x:c r="N428" s="11" t="n">
        <x:f>H428*I428</x:f>
        <x:v>5185.35</x:v>
      </x:c>
      <x:c r="O428" s="11" t="n">
        <x:f>ROUND(N428-J428,2)</x:f>
        <x:v>0</x:v>
      </x:c>
    </x:row>
    <x:row r="429" ht="84" customHeight="1">
      <x:c r="A429" s="8" t="str">
        <x:v>ED-0012</x:v>
      </x:c>
      <x:c r="B429" s="8" t="str">
        <x:v>Diamantino</x:v>
      </x:c>
      <x:c r="C429" s="8" t="str">
        <x:v>Diamantino</x:v>
      </x:c>
      <x:c r="D429" s="8" t="n">
        <x:v>4</x:v>
      </x:c>
      <x:c r="E429" s="8" t="str">
        <x:v>AÇAFRÃO</x:v>
      </x:c>
      <x:c r="F429" s="8" t="str">
        <x:v>AÇAFRÃO, torrado, em pó fino e</x:v>
      </x:c>
      <x:c r="G429" s="8" t="str">
        <x:v>Unidade de</x:v>
      </x:c>
      <x:c r="H429" s="11" t="n">
        <x:v>595</x:v>
      </x:c>
      <x:c r="I429" s="11" t="n">
        <x:v>2.78</x:v>
      </x:c>
      <x:c r="J429" s="11" t="n">
        <x:v>1654.1</x:v>
      </x:c>
      <x:c r="K429" s="11" t="n">
        <x:v>4</x:v>
      </x:c>
      <x:c r="L429" s="11" t="str">
        <x:v>Extração parcial do início da descrição; conferir unidade/descrição completa no PDF.</x:v>
      </x:c>
      <x:c r="M429" s="11" t="str">
        <x:v>DOC-0013</x:v>
      </x:c>
      <x:c r="N429" s="11" t="n">
        <x:f>H429*I429</x:f>
        <x:v>1654.1</x:v>
      </x:c>
      <x:c r="O429" s="11" t="n">
        <x:f>ROUND(N429-J429,2)</x:f>
        <x:v>0</x:v>
      </x:c>
    </x:row>
    <x:row r="430" ht="84" customHeight="1">
      <x:c r="A430" s="8" t="str">
        <x:v>ED-0012</x:v>
      </x:c>
      <x:c r="B430" s="8" t="str">
        <x:v>Diamantino</x:v>
      </x:c>
      <x:c r="C430" s="8" t="str">
        <x:v>Diamantino</x:v>
      </x:c>
      <x:c r="D430" s="8" t="n">
        <x:v>6</x:v>
      </x:c>
      <x:c r="E430" s="8" t="str">
        <x:v>AGRIÃO</x:v>
      </x:c>
      <x:c r="F430" s="8" t="str">
        <x:v>AGRIÃO, com folhas inteiras, livre de</x:v>
      </x:c>
      <x:c r="G430" s="8" t="str">
        <x:v>Quilograma</x:v>
      </x:c>
      <x:c r="H430" s="11" t="n">
        <x:v>382</x:v>
      </x:c>
      <x:c r="I430" s="11" t="n">
        <x:v>25.98</x:v>
      </x:c>
      <x:c r="J430" s="11" t="n">
        <x:v>9924.36</x:v>
      </x:c>
      <x:c r="K430" s="11" t="n">
        <x:v>4</x:v>
      </x:c>
      <x:c r="L430" s="11" t="str">
        <x:v>Extração parcial do início da descrição; conferir unidade/descrição completa no PDF.</x:v>
      </x:c>
      <x:c r="M430" s="11" t="str">
        <x:v>DOC-0013</x:v>
      </x:c>
      <x:c r="N430" s="11" t="n">
        <x:f>H430*I430</x:f>
        <x:v>9924.36</x:v>
      </x:c>
      <x:c r="O430" s="11" t="n">
        <x:f>ROUND(N430-J430,2)</x:f>
        <x:v>0</x:v>
      </x:c>
    </x:row>
    <x:row r="431" ht="84" customHeight="1">
      <x:c r="A431" s="8" t="str">
        <x:v>ED-0012</x:v>
      </x:c>
      <x:c r="B431" s="8" t="str">
        <x:v>Diamantino</x:v>
      </x:c>
      <x:c r="C431" s="8" t="str">
        <x:v>Diamantino</x:v>
      </x:c>
      <x:c r="D431" s="8" t="n">
        <x:v>7</x:v>
      </x:c>
      <x:c r="E431" s="8" t="str">
        <x:v>ALFACE CRESPA</x:v>
      </x:c>
      <x:c r="F431" s="8" t="str">
        <x:v>ALFACE CRESPA, com folhas</x:v>
      </x:c>
      <x:c r="G431" s="8" t="str">
        <x:v>Quilograma</x:v>
      </x:c>
      <x:c r="H431" s="11" t="n">
        <x:v>2677</x:v>
      </x:c>
      <x:c r="I431" s="11" t="n">
        <x:v>20.71</x:v>
      </x:c>
      <x:c r="J431" s="11" t="n">
        <x:v>55440.67</x:v>
      </x:c>
      <x:c r="K431" s="11" t="n">
        <x:v>4</x:v>
      </x:c>
      <x:c r="L431" s="11" t="str">
        <x:v>Extração parcial do início da descrição; conferir unidade/descrição completa no PDF.</x:v>
      </x:c>
      <x:c r="M431" s="11" t="str">
        <x:v>DOC-0013</x:v>
      </x:c>
      <x:c r="N431" s="11" t="n">
        <x:f>H431*I431</x:f>
        <x:v>55440.670000000006</x:v>
      </x:c>
      <x:c r="O431" s="11" t="n">
        <x:f>ROUND(N431-J431,2)</x:f>
        <x:v>0</x:v>
      </x:c>
    </x:row>
    <x:row r="432" ht="84" customHeight="1">
      <x:c r="A432" s="8" t="str">
        <x:v>ED-0012</x:v>
      </x:c>
      <x:c r="B432" s="8" t="str">
        <x:v>Diamantino</x:v>
      </x:c>
      <x:c r="C432" s="8" t="str">
        <x:v>Diamantino</x:v>
      </x:c>
      <x:c r="D432" s="8" t="n">
        <x:v>8</x:v>
      </x:c>
      <x:c r="E432" s="8" t="str">
        <x:v>ALMEIRÃO</x:v>
      </x:c>
      <x:c r="F432" s="8" t="str">
        <x:v>ALMEIRÃO, com folhas inteiras, livre</x:v>
      </x:c>
      <x:c r="G432" s="8" t="str">
        <x:v>Quilograma</x:v>
      </x:c>
      <x:c r="H432" s="11" t="n">
        <x:v>725</x:v>
      </x:c>
      <x:c r="I432" s="11" t="n">
        <x:v>21.06</x:v>
      </x:c>
      <x:c r="J432" s="11" t="n">
        <x:v>15268.5</x:v>
      </x:c>
      <x:c r="K432" s="11" t="n">
        <x:v>5</x:v>
      </x:c>
      <x:c r="L432" s="11" t="str">
        <x:v>Extração parcial do início da descrição; conferir unidade/descrição completa no PDF.</x:v>
      </x:c>
      <x:c r="M432" s="11" t="str">
        <x:v>DOC-0013</x:v>
      </x:c>
      <x:c r="N432" s="11" t="n">
        <x:f>H432*I432</x:f>
        <x:v>15268.499999999998</x:v>
      </x:c>
      <x:c r="O432" s="11" t="n">
        <x:f>ROUND(N432-J432,2)</x:f>
        <x:v>0</x:v>
      </x:c>
    </x:row>
    <x:row r="433" ht="84" customHeight="1">
      <x:c r="A433" s="8" t="str">
        <x:v>ED-0012</x:v>
      </x:c>
      <x:c r="B433" s="8" t="str">
        <x:v>Diamantino</x:v>
      </x:c>
      <x:c r="C433" s="8" t="str">
        <x:v>Diamantino</x:v>
      </x:c>
      <x:c r="D433" s="8" t="n">
        <x:v>9</x:v>
      </x:c>
      <x:c r="E433" s="8" t="str">
        <x:v>BANANA DA TERRA</x:v>
      </x:c>
      <x:c r="F433" s="8" t="str">
        <x:v>BANANA DA TERRA, inteira, livre</x:v>
      </x:c>
      <x:c r="G433" s="8" t="str">
        <x:v>Quilograma</x:v>
      </x:c>
      <x:c r="H433" s="11" t="n">
        <x:v>946</x:v>
      </x:c>
      <x:c r="I433" s="11" t="n">
        <x:v>11.33</x:v>
      </x:c>
      <x:c r="J433" s="11" t="n">
        <x:v>10718.18</x:v>
      </x:c>
      <x:c r="K433" s="11" t="n">
        <x:v>5</x:v>
      </x:c>
      <x:c r="L433" s="11" t="str">
        <x:v>Extração parcial do início da descrição; conferir unidade/descrição completa no PDF.</x:v>
      </x:c>
      <x:c r="M433" s="11" t="str">
        <x:v>DOC-0013</x:v>
      </x:c>
      <x:c r="N433" s="11" t="n">
        <x:f>H433*I433</x:f>
        <x:v>10718.18</x:v>
      </x:c>
      <x:c r="O433" s="11" t="n">
        <x:f>ROUND(N433-J433,2)</x:f>
        <x:v>0</x:v>
      </x:c>
    </x:row>
    <x:row r="434" ht="84" customHeight="1">
      <x:c r="A434" s="8" t="str">
        <x:v>ED-0012</x:v>
      </x:c>
      <x:c r="B434" s="8" t="str">
        <x:v>Diamantino</x:v>
      </x:c>
      <x:c r="C434" s="8" t="str">
        <x:v>Diamantino</x:v>
      </x:c>
      <x:c r="D434" s="8" t="n">
        <x:v>10</x:v>
      </x:c>
      <x:c r="E434" s="8" t="str">
        <x:v>BANANA NANICA</x:v>
      </x:c>
      <x:c r="F434" s="8" t="str">
        <x:v>BANANA NANICA, inteira, livre de</x:v>
      </x:c>
      <x:c r="G434" s="8" t="str">
        <x:v>Quilograma</x:v>
      </x:c>
      <x:c r="H434" s="11" t="n">
        <x:v>3387</x:v>
      </x:c>
      <x:c r="I434" s="11" t="n">
        <x:v>7.66</x:v>
      </x:c>
      <x:c r="J434" s="11" t="n">
        <x:v>25944.42</x:v>
      </x:c>
      <x:c r="K434" s="11" t="n">
        <x:v>5</x:v>
      </x:c>
      <x:c r="L434" s="11" t="str">
        <x:v>Extração parcial do início da descrição; conferir unidade/descrição completa no PDF.</x:v>
      </x:c>
      <x:c r="M434" s="11" t="str">
        <x:v>DOC-0013</x:v>
      </x:c>
      <x:c r="N434" s="11" t="n">
        <x:f>H434*I434</x:f>
        <x:v>25944.420000000002</x:v>
      </x:c>
      <x:c r="O434" s="11" t="n">
        <x:f>ROUND(N434-J434,2)</x:f>
        <x:v>0</x:v>
      </x:c>
    </x:row>
    <x:row r="435" ht="84" customHeight="1">
      <x:c r="A435" s="8" t="str">
        <x:v>ED-0012</x:v>
      </x:c>
      <x:c r="B435" s="8" t="str">
        <x:v>Diamantino</x:v>
      </x:c>
      <x:c r="C435" s="8" t="str">
        <x:v>Diamantino</x:v>
      </x:c>
      <x:c r="D435" s="8" t="n">
        <x:v>11</x:v>
      </x:c>
      <x:c r="E435" s="8" t="str">
        <x:v>BATATA DOCE</x:v>
      </x:c>
      <x:c r="F435" s="8" t="str">
        <x:v>BATATA DOCE, inteira, livre de</x:v>
      </x:c>
      <x:c r="G435" s="8" t="str">
        <x:v>Quilograma</x:v>
      </x:c>
      <x:c r="H435" s="11" t="n">
        <x:v>536</x:v>
      </x:c>
      <x:c r="I435" s="11" t="n">
        <x:v>6.64</x:v>
      </x:c>
      <x:c r="J435" s="11" t="n">
        <x:v>3559.04</x:v>
      </x:c>
      <x:c r="K435" s="11" t="n">
        <x:v>6</x:v>
      </x:c>
      <x:c r="L435" s="11" t="str">
        <x:v>Extração parcial do início da descrição; conferir unidade/descrição completa no PDF.</x:v>
      </x:c>
      <x:c r="M435" s="11" t="str">
        <x:v>DOC-0013</x:v>
      </x:c>
      <x:c r="N435" s="11" t="n">
        <x:f>H435*I435</x:f>
        <x:v>3559.04</x:v>
      </x:c>
      <x:c r="O435" s="11" t="n">
        <x:f>ROUND(N435-J435,2)</x:f>
        <x:v>0</x:v>
      </x:c>
    </x:row>
    <x:row r="436" ht="84" customHeight="1">
      <x:c r="A436" s="8" t="str">
        <x:v>ED-0012</x:v>
      </x:c>
      <x:c r="B436" s="8" t="str">
        <x:v>Diamantino</x:v>
      </x:c>
      <x:c r="C436" s="8" t="str">
        <x:v>Diamantino</x:v>
      </x:c>
      <x:c r="D436" s="8" t="n">
        <x:v>13</x:v>
      </x:c>
      <x:c r="E436" s="8" t="str">
        <x:v>BEBIDA LÁCTEA FERMENTADA</x:v>
      </x:c>
      <x:c r="F436" s="8" t="str">
        <x:v>BEBIDA LÁCTEA FERMENTADA</x:v>
      </x:c>
      <x:c r="G436" s="8" t="str">
        <x:v>Unidade de</x:v>
      </x:c>
      <x:c r="H436" s="11" t="n">
        <x:v>1064</x:v>
      </x:c>
      <x:c r="I436" s="11" t="n">
        <x:v>12.7</x:v>
      </x:c>
      <x:c r="J436" s="11" t="n">
        <x:v>13512.8</x:v>
      </x:c>
      <x:c r="K436" s="11" t="n">
        <x:v>6</x:v>
      </x:c>
      <x:c r="L436" s="11" t="str">
        <x:v>Extração parcial do início da descrição; conferir unidade/descrição completa no PDF.</x:v>
      </x:c>
      <x:c r="M436" s="11" t="str">
        <x:v>DOC-0013</x:v>
      </x:c>
      <x:c r="N436" s="11" t="n">
        <x:f>H436*I436</x:f>
        <x:v>13512.8</x:v>
      </x:c>
      <x:c r="O436" s="11" t="n">
        <x:f>ROUND(N436-J436,2)</x:f>
        <x:v>0</x:v>
      </x:c>
    </x:row>
    <x:row r="437" ht="84" customHeight="1">
      <x:c r="A437" s="8" t="str">
        <x:v>ED-0012</x:v>
      </x:c>
      <x:c r="B437" s="8" t="str">
        <x:v>Diamantino</x:v>
      </x:c>
      <x:c r="C437" s="8" t="str">
        <x:v>Diamantino</x:v>
      </x:c>
      <x:c r="D437" s="8" t="n">
        <x:v>14</x:v>
      </x:c>
      <x:c r="E437" s="8" t="str">
        <x:v>BETERRABA</x:v>
      </x:c>
      <x:c r="F437" s="8" t="str">
        <x:v>BETERRABA, inteira, livre de</x:v>
      </x:c>
      <x:c r="G437" s="8" t="str">
        <x:v>Quilograma</x:v>
      </x:c>
      <x:c r="H437" s="11" t="n">
        <x:v>382</x:v>
      </x:c>
      <x:c r="I437" s="11" t="n">
        <x:v>6.03</x:v>
      </x:c>
      <x:c r="J437" s="11" t="n">
        <x:v>2303.46</x:v>
      </x:c>
      <x:c r="K437" s="11" t="n">
        <x:v>7</x:v>
      </x:c>
      <x:c r="L437" s="11" t="str">
        <x:v>Extração parcial do início da descrição; conferir unidade/descrição completa no PDF.</x:v>
      </x:c>
      <x:c r="M437" s="11" t="str">
        <x:v>DOC-0013</x:v>
      </x:c>
      <x:c r="N437" s="11" t="n">
        <x:f>H437*I437</x:f>
        <x:v>2303.46</x:v>
      </x:c>
      <x:c r="O437" s="11" t="n">
        <x:f>ROUND(N437-J437,2)</x:f>
        <x:v>0</x:v>
      </x:c>
    </x:row>
    <x:row r="438" ht="84" customHeight="1">
      <x:c r="A438" s="8" t="str">
        <x:v>ED-0012</x:v>
      </x:c>
      <x:c r="B438" s="8" t="str">
        <x:v>Diamantino</x:v>
      </x:c>
      <x:c r="C438" s="8" t="str">
        <x:v>Diamantino</x:v>
      </x:c>
      <x:c r="D438" s="8" t="n">
        <x:v>15</x:v>
      </x:c>
      <x:c r="E438" s="8" t="str">
        <x:v>BOLO DE CHOCOLATE</x:v>
      </x:c>
      <x:c r="F438" s="8" t="str">
        <x:v>BOLO DE CHOCOLATE, caseiro,</x:v>
      </x:c>
      <x:c r="G438" s="8" t="str">
        <x:v>Quilograma</x:v>
      </x:c>
      <x:c r="H438" s="11" t="n">
        <x:v>950</x:v>
      </x:c>
      <x:c r="I438" s="11" t="n">
        <x:v>23.8</x:v>
      </x:c>
      <x:c r="J438" s="11" t="n">
        <x:v>22610</x:v>
      </x:c>
      <x:c r="K438" s="11" t="n">
        <x:v>7</x:v>
      </x:c>
      <x:c r="L438" s="11" t="str">
        <x:v>Extração parcial do início da descrição; conferir unidade/descrição completa no PDF.</x:v>
      </x:c>
      <x:c r="M438" s="11" t="str">
        <x:v>DOC-0013</x:v>
      </x:c>
      <x:c r="N438" s="11" t="n">
        <x:f>H438*I438</x:f>
        <x:v>22610</x:v>
      </x:c>
      <x:c r="O438" s="11" t="n">
        <x:f>ROUND(N438-J438,2)</x:f>
        <x:v>0</x:v>
      </x:c>
    </x:row>
    <x:row r="439" ht="84" customHeight="1">
      <x:c r="A439" s="8" t="str">
        <x:v>ED-0012</x:v>
      </x:c>
      <x:c r="B439" s="8" t="str">
        <x:v>Diamantino</x:v>
      </x:c>
      <x:c r="C439" s="8" t="str">
        <x:v>Diamantino</x:v>
      </x:c>
      <x:c r="D439" s="8" t="n">
        <x:v>16</x:v>
      </x:c>
      <x:c r="E439" s="8" t="str">
        <x:v>BOLO        DE      COCO</x:v>
      </x:c>
      <x:c r="F439" s="8" t="str">
        <x:v>BOLO        DE      COCO,       caseiro,</x:v>
      </x:c>
      <x:c r="G439" s="8" t="str">
        <x:v>Quilograma</x:v>
      </x:c>
      <x:c r="H439" s="11" t="n">
        <x:v>950</x:v>
      </x:c>
      <x:c r="I439" s="11" t="n">
        <x:v>24.33</x:v>
      </x:c>
      <x:c r="J439" s="11" t="n">
        <x:v>23113.5</x:v>
      </x:c>
      <x:c r="K439" s="11" t="n">
        <x:v>7</x:v>
      </x:c>
      <x:c r="L439" s="11" t="str">
        <x:v>Extração parcial do início da descrição; conferir unidade/descrição completa no PDF.</x:v>
      </x:c>
      <x:c r="M439" s="11" t="str">
        <x:v>DOC-0013</x:v>
      </x:c>
      <x:c r="N439" s="11" t="n">
        <x:f>H439*I439</x:f>
        <x:v>23113.5</x:v>
      </x:c>
      <x:c r="O439" s="11" t="n">
        <x:f>ROUND(N439-J439,2)</x:f>
        <x:v>0</x:v>
      </x:c>
    </x:row>
    <x:row r="440" ht="84" customHeight="1">
      <x:c r="A440" s="8" t="str">
        <x:v>ED-0012</x:v>
      </x:c>
      <x:c r="B440" s="8" t="str">
        <x:v>Diamantino</x:v>
      </x:c>
      <x:c r="C440" s="8" t="str">
        <x:v>Diamantino</x:v>
      </x:c>
      <x:c r="D440" s="8" t="n">
        <x:v>17</x:v>
      </x:c>
      <x:c r="E440" s="8" t="str">
        <x:v>BOLO          SIMPLES</x:v>
      </x:c>
      <x:c r="F440" s="8" t="str">
        <x:v>BOLO          SIMPLES,          caseiro,</x:v>
      </x:c>
      <x:c r="G440" s="8" t="str">
        <x:v>Quilograma</x:v>
      </x:c>
      <x:c r="H440" s="11" t="n">
        <x:v>950</x:v>
      </x:c>
      <x:c r="I440" s="11" t="n">
        <x:v>23.8</x:v>
      </x:c>
      <x:c r="J440" s="11" t="n">
        <x:v>22610</x:v>
      </x:c>
      <x:c r="K440" s="11" t="n">
        <x:v>8</x:v>
      </x:c>
      <x:c r="L440" s="11" t="str">
        <x:v>Extração parcial do início da descrição; conferir unidade/descrição completa no PDF.</x:v>
      </x:c>
      <x:c r="M440" s="11" t="str">
        <x:v>DOC-0013</x:v>
      </x:c>
      <x:c r="N440" s="11" t="n">
        <x:f>H440*I440</x:f>
        <x:v>22610</x:v>
      </x:c>
      <x:c r="O440" s="11" t="n">
        <x:f>ROUND(N440-J440,2)</x:f>
        <x:v>0</x:v>
      </x:c>
    </x:row>
    <x:row r="441" ht="84" customHeight="1">
      <x:c r="A441" s="8" t="str">
        <x:v>ED-0012</x:v>
      </x:c>
      <x:c r="B441" s="8" t="str">
        <x:v>Diamantino</x:v>
      </x:c>
      <x:c r="C441" s="8" t="str">
        <x:v>Diamantino</x:v>
      </x:c>
      <x:c r="D441" s="8" t="n">
        <x:v>18</x:v>
      </x:c>
      <x:c r="E441" s="8" t="str">
        <x:v>CAFÉ TORRADO E MOÍDO</x:v>
      </x:c>
      <x:c r="F441" s="8" t="str">
        <x:v>CAFÉ TORRADO E MOÍDO, 1ª</x:v>
      </x:c>
      <x:c r="G441" s="8" t="str">
        <x:v>Unidade de</x:v>
      </x:c>
      <x:c r="H441" s="11" t="n">
        <x:v>572</x:v>
      </x:c>
      <x:c r="I441" s="11" t="n">
        <x:v>21.93</x:v>
      </x:c>
      <x:c r="J441" s="11" t="n">
        <x:v>12543.96</x:v>
      </x:c>
      <x:c r="K441" s="11" t="n">
        <x:v>8</x:v>
      </x:c>
      <x:c r="L441" s="11" t="str">
        <x:v>Extração parcial do início da descrição; conferir unidade/descrição completa no PDF.</x:v>
      </x:c>
      <x:c r="M441" s="11" t="str">
        <x:v>DOC-0013</x:v>
      </x:c>
      <x:c r="N441" s="11" t="n">
        <x:f>H441*I441</x:f>
        <x:v>12543.96</x:v>
      </x:c>
      <x:c r="O441" s="11" t="n">
        <x:f>ROUND(N441-J441,2)</x:f>
        <x:v>0</x:v>
      </x:c>
    </x:row>
    <x:row r="442" ht="84" customHeight="1">
      <x:c r="A442" s="8" t="str">
        <x:v>ED-0012</x:v>
      </x:c>
      <x:c r="B442" s="8" t="str">
        <x:v>Diamantino</x:v>
      </x:c>
      <x:c r="C442" s="8" t="str">
        <x:v>Diamantino</x:v>
      </x:c>
      <x:c r="D442" s="8" t="n">
        <x:v>20</x:v>
      </x:c>
      <x:c r="E442" s="8" t="str">
        <x:v>CENOURA</x:v>
      </x:c>
      <x:c r="F442" s="8" t="str">
        <x:v>CENOURA, inteira, livre de sujidades,</x:v>
      </x:c>
      <x:c r="G442" s="8" t="str">
        <x:v>Quilograma</x:v>
      </x:c>
      <x:c r="H442" s="11" t="n">
        <x:v>2058</x:v>
      </x:c>
      <x:c r="I442" s="11" t="n">
        <x:v>6.15</x:v>
      </x:c>
      <x:c r="J442" s="11" t="n">
        <x:v>12656.7</x:v>
      </x:c>
      <x:c r="K442" s="11" t="n">
        <x:v>9</x:v>
      </x:c>
      <x:c r="L442" s="11" t="str">
        <x:v>Extração parcial do início da descrição; conferir unidade/descrição completa no PDF.</x:v>
      </x:c>
      <x:c r="M442" s="11" t="str">
        <x:v>DOC-0013</x:v>
      </x:c>
      <x:c r="N442" s="11" t="n">
        <x:f>H442*I442</x:f>
        <x:v>12656.7</x:v>
      </x:c>
      <x:c r="O442" s="11" t="n">
        <x:f>ROUND(N442-J442,2)</x:f>
        <x:v>0</x:v>
      </x:c>
    </x:row>
    <x:row r="443" ht="84" customHeight="1">
      <x:c r="A443" s="8" t="str">
        <x:v>ED-0012</x:v>
      </x:c>
      <x:c r="B443" s="8" t="str">
        <x:v>Diamantino</x:v>
      </x:c>
      <x:c r="C443" s="8" t="str">
        <x:v>Diamantino</x:v>
      </x:c>
      <x:c r="D443" s="8" t="n">
        <x:v>21</x:v>
      </x:c>
      <x:c r="E443" s="8" t="str">
        <x:v>COENTRO</x:v>
      </x:c>
      <x:c r="F443" s="8" t="str">
        <x:v>COENTRO, com talos e folhas</x:v>
      </x:c>
      <x:c r="G443" s="8" t="str">
        <x:v>Quilograma</x:v>
      </x:c>
      <x:c r="H443" s="11" t="n">
        <x:v>46</x:v>
      </x:c>
      <x:c r="I443" s="11" t="n">
        <x:v>34.66</x:v>
      </x:c>
      <x:c r="J443" s="11" t="n">
        <x:v>1594.36</x:v>
      </x:c>
      <x:c r="K443" s="11" t="n">
        <x:v>9</x:v>
      </x:c>
      <x:c r="L443" s="11" t="str">
        <x:v>Extração parcial do início da descrição; conferir unidade/descrição completa no PDF.</x:v>
      </x:c>
      <x:c r="M443" s="11" t="str">
        <x:v>DOC-0013</x:v>
      </x:c>
      <x:c r="N443" s="11" t="n">
        <x:f>H443*I443</x:f>
        <x:v>1594.36</x:v>
      </x:c>
      <x:c r="O443" s="11" t="n">
        <x:f>ROUND(N443-J443,2)</x:f>
        <x:v>0</x:v>
      </x:c>
    </x:row>
    <x:row r="444" ht="84" customHeight="1">
      <x:c r="A444" s="8" t="str">
        <x:v>ED-0012</x:v>
      </x:c>
      <x:c r="B444" s="8" t="str">
        <x:v>Diamantino</x:v>
      </x:c>
      <x:c r="C444" s="8" t="str">
        <x:v>Diamantino</x:v>
      </x:c>
      <x:c r="D444" s="8" t="n">
        <x:v>22</x:v>
      </x:c>
      <x:c r="E444" s="8" t="str">
        <x:v>COLORAU</x:v>
      </x:c>
      <x:c r="F444" s="8" t="str">
        <x:v>COLORAU, corante, natural de</x:v>
      </x:c>
      <x:c r="G444" s="8" t="str">
        <x:v>Unidade de</x:v>
      </x:c>
      <x:c r="H444" s="11" t="n">
        <x:v>5333</x:v>
      </x:c>
      <x:c r="I444" s="11" t="n">
        <x:v>3.6</x:v>
      </x:c>
      <x:c r="J444" s="11" t="n">
        <x:v>19198.8</x:v>
      </x:c>
      <x:c r="K444" s="11" t="n">
        <x:v>9</x:v>
      </x:c>
      <x:c r="L444" s="11" t="str">
        <x:v>Extração parcial do início da descrição; conferir unidade/descrição completa no PDF.</x:v>
      </x:c>
      <x:c r="M444" s="11" t="str">
        <x:v>DOC-0013</x:v>
      </x:c>
      <x:c r="N444" s="11" t="n">
        <x:f>H444*I444</x:f>
        <x:v>19198.8</x:v>
      </x:c>
      <x:c r="O444" s="11" t="n">
        <x:f>ROUND(N444-J444,2)</x:f>
        <x:v>0</x:v>
      </x:c>
    </x:row>
    <x:row r="445" ht="84" customHeight="1">
      <x:c r="A445" s="8" t="str">
        <x:v>ED-0012</x:v>
      </x:c>
      <x:c r="B445" s="8" t="str">
        <x:v>Diamantino</x:v>
      </x:c>
      <x:c r="C445" s="8" t="str">
        <x:v>Diamantino</x:v>
      </x:c>
      <x:c r="D445" s="8" t="n">
        <x:v>23</x:v>
      </x:c>
      <x:c r="E445" s="8" t="str">
        <x:v>COUVE</x:v>
      </x:c>
      <x:c r="F445" s="8" t="str">
        <x:v>COUVE, manteiga com folhas inteiras,</x:v>
      </x:c>
      <x:c r="G445" s="8" t="str">
        <x:v>Quilograma</x:v>
      </x:c>
      <x:c r="H445" s="11" t="n">
        <x:v>2208</x:v>
      </x:c>
      <x:c r="I445" s="11" t="n">
        <x:v>18.9</x:v>
      </x:c>
      <x:c r="J445" s="11" t="n">
        <x:v>41731.2</x:v>
      </x:c>
      <x:c r="K445" s="11" t="n">
        <x:v>9</x:v>
      </x:c>
      <x:c r="L445" s="11" t="str">
        <x:v>Extração parcial do início da descrição; conferir unidade/descrição completa no PDF.</x:v>
      </x:c>
      <x:c r="M445" s="11" t="str">
        <x:v>DOC-0013</x:v>
      </x:c>
      <x:c r="N445" s="11" t="n">
        <x:f>H445*I445</x:f>
        <x:v>41731.2</x:v>
      </x:c>
      <x:c r="O445" s="11" t="n">
        <x:f>ROUND(N445-J445,2)</x:f>
        <x:v>0</x:v>
      </x:c>
    </x:row>
    <x:row r="446" ht="84" customHeight="1">
      <x:c r="A446" s="8" t="str">
        <x:v>ED-0012</x:v>
      </x:c>
      <x:c r="B446" s="8" t="str">
        <x:v>Diamantino</x:v>
      </x:c>
      <x:c r="C446" s="8" t="str">
        <x:v>Diamantino</x:v>
      </x:c>
      <x:c r="D446" s="8" t="n">
        <x:v>24</x:v>
      </x:c>
      <x:c r="E446" s="8" t="str">
        <x:v>FARINHA DE MANDIOCA</x:v>
      </x:c>
      <x:c r="F446" s="8" t="str">
        <x:v>FARINHA DE MANDIOCA, do tipo</x:v>
      </x:c>
      <x:c r="G446" s="8" t="str">
        <x:v>Unidade de</x:v>
      </x:c>
      <x:c r="H446" s="11" t="n">
        <x:v>843</x:v>
      </x:c>
      <x:c r="I446" s="11" t="n">
        <x:v>9.61</x:v>
      </x:c>
      <x:c r="J446" s="11" t="n">
        <x:v>8101.23</x:v>
      </x:c>
      <x:c r="K446" s="11" t="n">
        <x:v>10</x:v>
      </x:c>
      <x:c r="L446" s="11" t="str">
        <x:v>Extração parcial do início da descrição; conferir unidade/descrição completa no PDF.</x:v>
      </x:c>
      <x:c r="M446" s="11" t="str">
        <x:v>DOC-0013</x:v>
      </x:c>
      <x:c r="N446" s="11" t="n">
        <x:f>H446*I446</x:f>
        <x:v>8101.23</x:v>
      </x:c>
      <x:c r="O446" s="11" t="n">
        <x:f>ROUND(N446-J446,2)</x:f>
        <x:v>0</x:v>
      </x:c>
    </x:row>
    <x:row r="447" ht="84" customHeight="1">
      <x:c r="A447" s="8" t="str">
        <x:v>ED-0012</x:v>
      </x:c>
      <x:c r="B447" s="8" t="str">
        <x:v>Diamantino</x:v>
      </x:c>
      <x:c r="C447" s="8" t="str">
        <x:v>Diamantino</x:v>
      </x:c>
      <x:c r="D447" s="8" t="n">
        <x:v>25</x:v>
      </x:c>
      <x:c r="E447" s="8" t="str">
        <x:v>INHAME</x:v>
      </x:c>
      <x:c r="F447" s="8" t="str">
        <x:v>INHAME, in natura, tamanho e</x:v>
      </x:c>
      <x:c r="G447" s="8" t="str">
        <x:v>Quilograma</x:v>
      </x:c>
      <x:c r="H447" s="11" t="n">
        <x:v>418</x:v>
      </x:c>
      <x:c r="I447" s="11" t="n">
        <x:v>18.75</x:v>
      </x:c>
      <x:c r="J447" s="11" t="n">
        <x:v>7837.5</x:v>
      </x:c>
      <x:c r="K447" s="11" t="n">
        <x:v>10</x:v>
      </x:c>
      <x:c r="L447" s="11" t="str">
        <x:v>Extração parcial do início da descrição; conferir unidade/descrição completa no PDF.</x:v>
      </x:c>
      <x:c r="M447" s="11" t="str">
        <x:v>DOC-0013</x:v>
      </x:c>
      <x:c r="N447" s="11" t="n">
        <x:f>H447*I447</x:f>
        <x:v>7837.5</x:v>
      </x:c>
      <x:c r="O447" s="11" t="n">
        <x:f>ROUND(N447-J447,2)</x:f>
        <x:v>0</x:v>
      </x:c>
    </x:row>
    <x:row r="448" ht="84" customHeight="1">
      <x:c r="A448" s="8" t="str">
        <x:v>ED-0012</x:v>
      </x:c>
      <x:c r="B448" s="8" t="str">
        <x:v>Diamantino</x:v>
      </x:c>
      <x:c r="C448" s="8" t="str">
        <x:v>Diamantino</x:v>
      </x:c>
      <x:c r="D448" s="8" t="n">
        <x:v>26</x:v>
      </x:c>
      <x:c r="E448" s="8" t="str">
        <x:v>LARANJA PÊRA</x:v>
      </x:c>
      <x:c r="F448" s="8" t="str">
        <x:v>LARANJA PÊRA, inteira, livre de</x:v>
      </x:c>
      <x:c r="G448" s="8" t="str">
        <x:v>Quilograma</x:v>
      </x:c>
      <x:c r="H448" s="11" t="n">
        <x:v>2735</x:v>
      </x:c>
      <x:c r="I448" s="11" t="n">
        <x:v>6.15</x:v>
      </x:c>
      <x:c r="J448" s="11" t="n">
        <x:v>16820.25</x:v>
      </x:c>
      <x:c r="K448" s="11" t="n">
        <x:v>11</x:v>
      </x:c>
      <x:c r="L448" s="11" t="str">
        <x:v>Extração parcial do início da descrição; conferir unidade/descrição completa no PDF.</x:v>
      </x:c>
      <x:c r="M448" s="11" t="str">
        <x:v>DOC-0013</x:v>
      </x:c>
      <x:c r="N448" s="11" t="n">
        <x:f>H448*I448</x:f>
        <x:v>16820.25</x:v>
      </x:c>
      <x:c r="O448" s="11" t="n">
        <x:f>ROUND(N448-J448,2)</x:f>
        <x:v>0</x:v>
      </x:c>
    </x:row>
    <x:row r="449" ht="84" customHeight="1">
      <x:c r="A449" s="8" t="str">
        <x:v>ED-0012</x:v>
      </x:c>
      <x:c r="B449" s="8" t="str">
        <x:v>Diamantino</x:v>
      </x:c>
      <x:c r="C449" s="8" t="str">
        <x:v>Diamantino</x:v>
      </x:c>
      <x:c r="D449" s="8" t="n">
        <x:v>27</x:v>
      </x:c>
      <x:c r="E449" s="8" t="str">
        <x:v>LEITE               PASTEURIZADO</x:v>
      </x:c>
      <x:c r="F449" s="8" t="str">
        <x:v>LEITE               PASTEURIZADO</x:v>
      </x:c>
      <x:c r="G449" s="8" t="str">
        <x:v>Unidade de</x:v>
      </x:c>
      <x:c r="H449" s="11" t="n">
        <x:v>9715</x:v>
      </x:c>
      <x:c r="I449" s="11" t="n">
        <x:v>7.23</x:v>
      </x:c>
      <x:c r="J449" s="11" t="n">
        <x:v>70239.45</x:v>
      </x:c>
      <x:c r="K449" s="11" t="n">
        <x:v>11</x:v>
      </x:c>
      <x:c r="L449" s="11" t="str">
        <x:v>Extração parcial do início da descrição; conferir unidade/descrição completa no PDF.</x:v>
      </x:c>
      <x:c r="M449" s="11" t="str">
        <x:v>DOC-0013</x:v>
      </x:c>
      <x:c r="N449" s="11" t="n">
        <x:f>H449*I449</x:f>
        <x:v>70239.45</x:v>
      </x:c>
      <x:c r="O449" s="11" t="n">
        <x:f>ROUND(N449-J449,2)</x:f>
        <x:v>0</x:v>
      </x:c>
    </x:row>
    <x:row r="450" ht="84" customHeight="1">
      <x:c r="A450" s="8" t="str">
        <x:v>ED-0012</x:v>
      </x:c>
      <x:c r="B450" s="8" t="str">
        <x:v>Diamantino</x:v>
      </x:c>
      <x:c r="C450" s="8" t="str">
        <x:v>Diamantino</x:v>
      </x:c>
      <x:c r="D450" s="8" t="n">
        <x:v>28</x:v>
      </x:c>
      <x:c r="E450" s="8" t="str">
        <x:v>LIMÃO TAHITI</x:v>
      </x:c>
      <x:c r="F450" s="8" t="str">
        <x:v>LIMÃO TAHITI, inteiro, livre de</x:v>
      </x:c>
      <x:c r="G450" s="8" t="str">
        <x:v>Quilograma</x:v>
      </x:c>
      <x:c r="H450" s="11" t="n">
        <x:v>568</x:v>
      </x:c>
      <x:c r="I450" s="11" t="n">
        <x:v>10.73</x:v>
      </x:c>
      <x:c r="J450" s="11" t="n">
        <x:v>6094.64</x:v>
      </x:c>
      <x:c r="K450" s="11" t="n">
        <x:v>11</x:v>
      </x:c>
      <x:c r="L450" s="11" t="str">
        <x:v>Extração parcial do início da descrição; conferir unidade/descrição completa no PDF.</x:v>
      </x:c>
      <x:c r="M450" s="11" t="str">
        <x:v>DOC-0013</x:v>
      </x:c>
      <x:c r="N450" s="11" t="n">
        <x:f>H450*I450</x:f>
        <x:v>6094.64</x:v>
      </x:c>
      <x:c r="O450" s="11" t="n">
        <x:f>ROUND(N450-J450,2)</x:f>
        <x:v>0</x:v>
      </x:c>
    </x:row>
    <x:row r="451" ht="84" customHeight="1">
      <x:c r="A451" s="8" t="str">
        <x:v>ED-0012</x:v>
      </x:c>
      <x:c r="B451" s="8" t="str">
        <x:v>Diamantino</x:v>
      </x:c>
      <x:c r="C451" s="8" t="str">
        <x:v>Diamantino</x:v>
      </x:c>
      <x:c r="D451" s="8" t="n">
        <x:v>29</x:v>
      </x:c>
      <x:c r="E451" s="8" t="str">
        <x:v>MAMÃO FORMOSA</x:v>
      </x:c>
      <x:c r="F451" s="8" t="str">
        <x:v>MAMÃO FORMOSA, livre de</x:v>
      </x:c>
      <x:c r="G451" s="8" t="str">
        <x:v>Quilograma</x:v>
      </x:c>
      <x:c r="H451" s="11" t="n">
        <x:v>1569</x:v>
      </x:c>
      <x:c r="I451" s="11" t="n">
        <x:v>7.99</x:v>
      </x:c>
      <x:c r="J451" s="11" t="n">
        <x:v>12536.31</x:v>
      </x:c>
      <x:c r="K451" s="11" t="n">
        <x:v>12</x:v>
      </x:c>
      <x:c r="L451" s="11" t="str">
        <x:v>Extração parcial do início da descrição; conferir unidade/descrição completa no PDF.</x:v>
      </x:c>
      <x:c r="M451" s="11" t="str">
        <x:v>DOC-0013</x:v>
      </x:c>
      <x:c r="N451" s="11" t="n">
        <x:f>H451*I451</x:f>
        <x:v>12536.31</x:v>
      </x:c>
      <x:c r="O451" s="11" t="n">
        <x:f>ROUND(N451-J451,2)</x:f>
        <x:v>0</x:v>
      </x:c>
    </x:row>
    <x:row r="452" ht="84" customHeight="1">
      <x:c r="A452" s="8" t="str">
        <x:v>ED-0012</x:v>
      </x:c>
      <x:c r="B452" s="8" t="str">
        <x:v>Diamantino</x:v>
      </x:c>
      <x:c r="C452" s="8" t="str">
        <x:v>Diamantino</x:v>
      </x:c>
      <x:c r="D452" s="8" t="n">
        <x:v>30</x:v>
      </x:c>
      <x:c r="E452" s="8" t="str">
        <x:v>MANDIOCA                DESCASCADA</x:v>
      </x:c>
      <x:c r="F452" s="8" t="str">
        <x:v>MANDIOCA                DESCASCADA</x:v>
      </x:c>
      <x:c r="G452" s="8" t="str">
        <x:v>Unidade de</x:v>
      </x:c>
      <x:c r="H452" s="11" t="n">
        <x:v>1264</x:v>
      </x:c>
      <x:c r="I452" s="11" t="n">
        <x:v>10.89</x:v>
      </x:c>
      <x:c r="J452" s="11" t="n">
        <x:v>13764.96</x:v>
      </x:c>
      <x:c r="K452" s="11" t="n">
        <x:v>12</x:v>
      </x:c>
      <x:c r="L452" s="11" t="str">
        <x:v>Extração parcial do início da descrição; conferir unidade/descrição completa no PDF.</x:v>
      </x:c>
      <x:c r="M452" s="11" t="str">
        <x:v>DOC-0013</x:v>
      </x:c>
      <x:c r="N452" s="11" t="n">
        <x:f>H452*I452</x:f>
        <x:v>13764.960000000001</x:v>
      </x:c>
      <x:c r="O452" s="11" t="n">
        <x:f>ROUND(N452-J452,2)</x:f>
        <x:v>0</x:v>
      </x:c>
    </x:row>
    <x:row r="453" ht="84" customHeight="1">
      <x:c r="A453" s="8" t="str">
        <x:v>ED-0012</x:v>
      </x:c>
      <x:c r="B453" s="8" t="str">
        <x:v>Diamantino</x:v>
      </x:c>
      <x:c r="C453" s="8" t="str">
        <x:v>Diamantino</x:v>
      </x:c>
      <x:c r="D453" s="8" t="n">
        <x:v>31</x:v>
      </x:c>
      <x:c r="E453" s="8" t="str">
        <x:v>MANTEIGA PURA COM SAL</x:v>
      </x:c>
      <x:c r="F453" s="8" t="str">
        <x:v>MANTEIGA PURA COM SAL,</x:v>
      </x:c>
      <x:c r="G453" s="8" t="str">
        <x:v>Unidade de</x:v>
      </x:c>
      <x:c r="H453" s="11" t="n">
        <x:v>1470</x:v>
      </x:c>
      <x:c r="I453" s="11" t="n">
        <x:v>38.53</x:v>
      </x:c>
      <x:c r="J453" s="11" t="n">
        <x:v>56639.1</x:v>
      </x:c>
      <x:c r="K453" s="11" t="n">
        <x:v>12</x:v>
      </x:c>
      <x:c r="L453" s="11" t="str">
        <x:v>Extração parcial do início da descrição; conferir unidade/descrição completa no PDF.</x:v>
      </x:c>
      <x:c r="M453" s="11" t="str">
        <x:v>DOC-0013</x:v>
      </x:c>
      <x:c r="N453" s="11" t="n">
        <x:f>H453*I453</x:f>
        <x:v>56639.1</x:v>
      </x:c>
      <x:c r="O453" s="11" t="n">
        <x:f>ROUND(N453-J453,2)</x:f>
        <x:v>0</x:v>
      </x:c>
    </x:row>
    <x:row r="454" ht="84" customHeight="1">
      <x:c r="A454" s="8" t="str">
        <x:v>ED-0012</x:v>
      </x:c>
      <x:c r="B454" s="8" t="str">
        <x:v>Diamantino</x:v>
      </x:c>
      <x:c r="C454" s="8" t="str">
        <x:v>Diamantino</x:v>
      </x:c>
      <x:c r="D454" s="8" t="n">
        <x:v>32</x:v>
      </x:c>
      <x:c r="E454" s="8" t="str">
        <x:v>MELANCIA</x:v>
      </x:c>
      <x:c r="F454" s="8" t="str">
        <x:v>MELANCIA,          inteira,    livre    de</x:v>
      </x:c>
      <x:c r="G454" s="8" t="str">
        <x:v>Quilograma</x:v>
      </x:c>
      <x:c r="H454" s="11" t="n">
        <x:v>1765</x:v>
      </x:c>
      <x:c r="I454" s="11" t="n">
        <x:v>4.88</x:v>
      </x:c>
      <x:c r="J454" s="11" t="n">
        <x:v>8613.2</x:v>
      </x:c>
      <x:c r="K454" s="11" t="n">
        <x:v>13</x:v>
      </x:c>
      <x:c r="L454" s="11" t="str">
        <x:v>Extração parcial do início da descrição; conferir unidade/descrição completa no PDF.</x:v>
      </x:c>
      <x:c r="M454" s="11" t="str">
        <x:v>DOC-0013</x:v>
      </x:c>
      <x:c r="N454" s="11" t="n">
        <x:f>H454*I454</x:f>
        <x:v>8613.199999999999</x:v>
      </x:c>
      <x:c r="O454" s="11" t="n">
        <x:f>ROUND(N454-J454,2)</x:f>
        <x:v>0</x:v>
      </x:c>
    </x:row>
    <x:row r="455" ht="84" customHeight="1">
      <x:c r="A455" s="8" t="str">
        <x:v>ED-0012</x:v>
      </x:c>
      <x:c r="B455" s="8" t="str">
        <x:v>Diamantino</x:v>
      </x:c>
      <x:c r="C455" s="8" t="str">
        <x:v>Diamantino</x:v>
      </x:c>
      <x:c r="D455" s="8" t="n">
        <x:v>34</x:v>
      </x:c>
      <x:c r="E455" s="8" t="str">
        <x:v>PÃO CASEIRO</x:v>
      </x:c>
      <x:c r="F455" s="8" t="str">
        <x:v>PÃO CASEIRO, de boa qualidade,</x:v>
      </x:c>
      <x:c r="G455" s="8" t="str">
        <x:v>Quilograma</x:v>
      </x:c>
      <x:c r="H455" s="11" t="n">
        <x:v>1890</x:v>
      </x:c>
      <x:c r="I455" s="11" t="n">
        <x:v>24</x:v>
      </x:c>
      <x:c r="J455" s="11" t="n">
        <x:v>45360</x:v>
      </x:c>
      <x:c r="K455" s="11" t="n">
        <x:v>13</x:v>
      </x:c>
      <x:c r="L455" s="11" t="str">
        <x:v>Extração parcial do início da descrição; conferir unidade/descrição completa no PDF.</x:v>
      </x:c>
      <x:c r="M455" s="11" t="str">
        <x:v>DOC-0013</x:v>
      </x:c>
      <x:c r="N455" s="11" t="n">
        <x:f>H455*I455</x:f>
        <x:v>45360</x:v>
      </x:c>
      <x:c r="O455" s="11" t="n">
        <x:f>ROUND(N455-J455,2)</x:f>
        <x:v>0</x:v>
      </x:c>
    </x:row>
    <x:row r="456" ht="84" customHeight="1">
      <x:c r="A456" s="8" t="str">
        <x:v>ED-0012</x:v>
      </x:c>
      <x:c r="B456" s="8" t="str">
        <x:v>Diamantino</x:v>
      </x:c>
      <x:c r="C456" s="8" t="str">
        <x:v>Diamantino</x:v>
      </x:c>
      <x:c r="D456" s="8" t="n">
        <x:v>35</x:v>
      </x:c>
      <x:c r="E456" s="8" t="str">
        <x:v>PEIXE PINTADO FILÉ</x:v>
      </x:c>
      <x:c r="F456" s="8" t="str">
        <x:v>PEIXE PINTADO FILÉ, de água</x:v>
      </x:c>
      <x:c r="G456" s="8" t="str">
        <x:v>Unidade de</x:v>
      </x:c>
      <x:c r="H456" s="11" t="n">
        <x:v>447</x:v>
      </x:c>
      <x:c r="I456" s="11" t="n">
        <x:v>79.9</x:v>
      </x:c>
      <x:c r="J456" s="11" t="n">
        <x:v>35715.3</x:v>
      </x:c>
      <x:c r="K456" s="11" t="n">
        <x:v>13</x:v>
      </x:c>
      <x:c r="L456" s="11" t="str">
        <x:v>Extração parcial do início da descrição; conferir unidade/descrição completa no PDF.</x:v>
      </x:c>
      <x:c r="M456" s="11" t="str">
        <x:v>DOC-0013</x:v>
      </x:c>
      <x:c r="N456" s="11" t="n">
        <x:f>H456*I456</x:f>
        <x:v>35715.3</x:v>
      </x:c>
      <x:c r="O456" s="11" t="n">
        <x:f>ROUND(N456-J456,2)</x:f>
        <x:v>0</x:v>
      </x:c>
    </x:row>
    <x:row r="457" ht="84" customHeight="1">
      <x:c r="A457" s="8" t="str">
        <x:v>ED-0012</x:v>
      </x:c>
      <x:c r="B457" s="8" t="str">
        <x:v>Diamantino</x:v>
      </x:c>
      <x:c r="C457" s="8" t="str">
        <x:v>Diamantino</x:v>
      </x:c>
      <x:c r="D457" s="8" t="n">
        <x:v>36</x:v>
      </x:c>
      <x:c r="E457" s="8" t="str">
        <x:v>PEIXE PINTADO FILÉ EM</x:v>
      </x:c>
      <x:c r="F457" s="8" t="str">
        <x:v>PEIXE PINTADO FILÉ EM</x:v>
      </x:c>
      <x:c r="G457" s="8" t="str">
        <x:v>Unidade de</x:v>
      </x:c>
      <x:c r="H457" s="11" t="n">
        <x:v>447</x:v>
      </x:c>
      <x:c r="I457" s="11" t="n">
        <x:v>79.9</x:v>
      </x:c>
      <x:c r="J457" s="11" t="n">
        <x:v>35715.3</x:v>
      </x:c>
      <x:c r="K457" s="11" t="n">
        <x:v>14</x:v>
      </x:c>
      <x:c r="L457" s="11" t="str">
        <x:v>Extração parcial do início da descrição; conferir unidade/descrição completa no PDF.</x:v>
      </x:c>
      <x:c r="M457" s="11" t="str">
        <x:v>DOC-0013</x:v>
      </x:c>
      <x:c r="N457" s="11" t="n">
        <x:f>H457*I457</x:f>
        <x:v>35715.3</x:v>
      </x:c>
      <x:c r="O457" s="11" t="n">
        <x:f>ROUND(N457-J457,2)</x:f>
        <x:v>0</x:v>
      </x:c>
    </x:row>
    <x:row r="458" ht="84" customHeight="1">
      <x:c r="A458" s="8" t="str">
        <x:v>ED-0012</x:v>
      </x:c>
      <x:c r="B458" s="8" t="str">
        <x:v>Diamantino</x:v>
      </x:c>
      <x:c r="C458" s="8" t="str">
        <x:v>Diamantino</x:v>
      </x:c>
      <x:c r="D458" s="8" t="n">
        <x:v>37</x:v>
      </x:c>
      <x:c r="E458" s="8" t="str">
        <x:v>PEIXE TILÁPIA FILÉ</x:v>
      </x:c>
      <x:c r="F458" s="8" t="str">
        <x:v>PEIXE TILÁPIA FILÉ, peixe de água</x:v>
      </x:c>
      <x:c r="G458" s="8" t="str">
        <x:v>Unidade de</x:v>
      </x:c>
      <x:c r="H458" s="11" t="n">
        <x:v>447</x:v>
      </x:c>
      <x:c r="I458" s="11" t="n">
        <x:v>74.37</x:v>
      </x:c>
      <x:c r="J458" s="11" t="n">
        <x:v>33243.39</x:v>
      </x:c>
      <x:c r="K458" s="11" t="n">
        <x:v>14</x:v>
      </x:c>
      <x:c r="L458" s="11" t="str">
        <x:v>Extração parcial do início da descrição; conferir unidade/descrição completa no PDF.</x:v>
      </x:c>
      <x:c r="M458" s="11" t="str">
        <x:v>DOC-0013</x:v>
      </x:c>
      <x:c r="N458" s="11" t="n">
        <x:f>H458*I458</x:f>
        <x:v>33243.39</x:v>
      </x:c>
      <x:c r="O458" s="11" t="n">
        <x:f>ROUND(N458-J458,2)</x:f>
        <x:v>0</x:v>
      </x:c>
    </x:row>
    <x:row r="459" ht="84" customHeight="1">
      <x:c r="A459" s="8" t="str">
        <x:v>ED-0012</x:v>
      </x:c>
      <x:c r="B459" s="8" t="str">
        <x:v>Diamantino</x:v>
      </x:c>
      <x:c r="C459" s="8" t="str">
        <x:v>Diamantino</x:v>
      </x:c>
      <x:c r="D459" s="8" t="n">
        <x:v>39</x:v>
      </x:c>
      <x:c r="E459" s="8" t="str">
        <x:v>PIMENTA DE CHEIRO</x:v>
      </x:c>
      <x:c r="F459" s="8" t="str">
        <x:v>PIMENTA DE CHEIRO, inteira, livre</x:v>
      </x:c>
      <x:c r="G459" s="8" t="str">
        <x:v>Quilograma</x:v>
      </x:c>
      <x:c r="H459" s="11" t="n">
        <x:v>151</x:v>
      </x:c>
      <x:c r="I459" s="11" t="n">
        <x:v>45.83</x:v>
      </x:c>
      <x:c r="J459" s="11" t="n">
        <x:v>6920.33</x:v>
      </x:c>
      <x:c r="K459" s="11" t="n">
        <x:v>15</x:v>
      </x:c>
      <x:c r="L459" s="11" t="str">
        <x:v>Extração parcial do início da descrição; conferir unidade/descrição completa no PDF.</x:v>
      </x:c>
      <x:c r="M459" s="11" t="str">
        <x:v>DOC-0013</x:v>
      </x:c>
      <x:c r="N459" s="11" t="n">
        <x:f>H459*I459</x:f>
        <x:v>6920.33</x:v>
      </x:c>
      <x:c r="O459" s="11" t="n">
        <x:f>ROUND(N459-J459,2)</x:f>
        <x:v>0</x:v>
      </x:c>
    </x:row>
    <x:row r="460" ht="84" customHeight="1">
      <x:c r="A460" s="8" t="str">
        <x:v>ED-0012</x:v>
      </x:c>
      <x:c r="B460" s="8" t="str">
        <x:v>Diamantino</x:v>
      </x:c>
      <x:c r="C460" s="8" t="str">
        <x:v>Diamantino</x:v>
      </x:c>
      <x:c r="D460" s="8" t="n">
        <x:v>40</x:v>
      </x:c>
      <x:c r="E460" s="8" t="str">
        <x:v>PIMENTÃO VERDE</x:v>
      </x:c>
      <x:c r="F460" s="8" t="str">
        <x:v>PIMENTÃO VERDE, inteiro, livre de</x:v>
      </x:c>
      <x:c r="G460" s="8" t="str">
        <x:v>Quilograma</x:v>
      </x:c>
      <x:c r="H460" s="11" t="n">
        <x:v>148</x:v>
      </x:c>
      <x:c r="I460" s="11" t="n">
        <x:v>11.63</x:v>
      </x:c>
      <x:c r="J460" s="11" t="n">
        <x:v>1721.24</x:v>
      </x:c>
      <x:c r="K460" s="11" t="n">
        <x:v>15</x:v>
      </x:c>
      <x:c r="L460" s="11" t="str">
        <x:v>Extração parcial do início da descrição; conferir unidade/descrição completa no PDF.</x:v>
      </x:c>
      <x:c r="M460" s="11" t="str">
        <x:v>DOC-0013</x:v>
      </x:c>
      <x:c r="N460" s="11" t="n">
        <x:f>H460*I460</x:f>
        <x:v>1721.24</x:v>
      </x:c>
      <x:c r="O460" s="11" t="n">
        <x:f>ROUND(N460-J460,2)</x:f>
        <x:v>0</x:v>
      </x:c>
    </x:row>
    <x:row r="461" ht="84" customHeight="1">
      <x:c r="A461" s="8" t="str">
        <x:v>ED-0012</x:v>
      </x:c>
      <x:c r="B461" s="8" t="str">
        <x:v>Diamantino</x:v>
      </x:c>
      <x:c r="C461" s="8" t="str">
        <x:v>Diamantino</x:v>
      </x:c>
      <x:c r="D461" s="8" t="n">
        <x:v>41</x:v>
      </x:c>
      <x:c r="E461" s="8" t="str">
        <x:v>POLPA DE ABACAXI</x:v>
      </x:c>
      <x:c r="F461" s="8" t="str">
        <x:v>POLPA DE ABACAXI, SEM adição</x:v>
      </x:c>
      <x:c r="G461" s="8" t="str">
        <x:v>Unidade de</x:v>
      </x:c>
      <x:c r="H461" s="11" t="n">
        <x:v>877</x:v>
      </x:c>
      <x:c r="I461" s="11" t="n">
        <x:v>29.95</x:v>
      </x:c>
      <x:c r="J461" s="11" t="n">
        <x:v>26266.15</x:v>
      </x:c>
      <x:c r="K461" s="11" t="n">
        <x:v>16</x:v>
      </x:c>
      <x:c r="L461" s="11" t="str">
        <x:v>Extração parcial do início da descrição; conferir unidade/descrição completa no PDF.</x:v>
      </x:c>
      <x:c r="M461" s="11" t="str">
        <x:v>DOC-0013</x:v>
      </x:c>
      <x:c r="N461" s="11" t="n">
        <x:f>H461*I461</x:f>
        <x:v>26266.149999999998</x:v>
      </x:c>
      <x:c r="O461" s="11" t="n">
        <x:f>ROUND(N461-J461,2)</x:f>
        <x:v>0</x:v>
      </x:c>
    </x:row>
    <x:row r="462" ht="84" customHeight="1">
      <x:c r="A462" s="8" t="str">
        <x:v>ED-0012</x:v>
      </x:c>
      <x:c r="B462" s="8" t="str">
        <x:v>Diamantino</x:v>
      </x:c>
      <x:c r="C462" s="8" t="str">
        <x:v>Diamantino</x:v>
      </x:c>
      <x:c r="D462" s="8" t="n">
        <x:v>42</x:v>
      </x:c>
      <x:c r="E462" s="8" t="str">
        <x:v>POLPA DE ACEROLA</x:v>
      </x:c>
      <x:c r="F462" s="8" t="str">
        <x:v>POLPA DE ACEROLA, SEM adição</x:v>
      </x:c>
      <x:c r="G462" s="8" t="str">
        <x:v>Unidade de</x:v>
      </x:c>
      <x:c r="H462" s="11" t="n">
        <x:v>877</x:v>
      </x:c>
      <x:c r="I462" s="11" t="n">
        <x:v>33.4</x:v>
      </x:c>
      <x:c r="J462" s="11" t="n">
        <x:v>29291.8</x:v>
      </x:c>
      <x:c r="K462" s="11" t="n">
        <x:v>16</x:v>
      </x:c>
      <x:c r="L462" s="11" t="str">
        <x:v>Extração parcial do início da descrição; conferir unidade/descrição completa no PDF.</x:v>
      </x:c>
      <x:c r="M462" s="11" t="str">
        <x:v>DOC-0013</x:v>
      </x:c>
      <x:c r="N462" s="11" t="n">
        <x:f>H462*I462</x:f>
        <x:v>29291.8</x:v>
      </x:c>
      <x:c r="O462" s="11" t="n">
        <x:f>ROUND(N462-J462,2)</x:f>
        <x:v>0</x:v>
      </x:c>
    </x:row>
    <x:row r="463" ht="84" customHeight="1">
      <x:c r="A463" s="8" t="str">
        <x:v>ED-0012</x:v>
      </x:c>
      <x:c r="B463" s="8" t="str">
        <x:v>Diamantino</x:v>
      </x:c>
      <x:c r="C463" s="8" t="str">
        <x:v>Diamantino</x:v>
      </x:c>
      <x:c r="D463" s="8" t="n">
        <x:v>43</x:v>
      </x:c>
      <x:c r="E463" s="8" t="str">
        <x:v>POLPA DE CAJÚ</x:v>
      </x:c>
      <x:c r="F463" s="8" t="str">
        <x:v>POLPA DE CAJÚ, SEM adição de</x:v>
      </x:c>
      <x:c r="G463" s="8" t="str">
        <x:v>Unidade de</x:v>
      </x:c>
      <x:c r="H463" s="11" t="n">
        <x:v>876</x:v>
      </x:c>
      <x:c r="I463" s="11" t="n">
        <x:v>30</x:v>
      </x:c>
      <x:c r="J463" s="11" t="n">
        <x:v>26280</x:v>
      </x:c>
      <x:c r="K463" s="11" t="n">
        <x:v>17</x:v>
      </x:c>
      <x:c r="L463" s="11" t="str">
        <x:v>Extração parcial do início da descrição; conferir unidade/descrição completa no PDF.</x:v>
      </x:c>
      <x:c r="M463" s="11" t="str">
        <x:v>DOC-0013</x:v>
      </x:c>
      <x:c r="N463" s="11" t="n">
        <x:f>H463*I463</x:f>
        <x:v>26280</x:v>
      </x:c>
      <x:c r="O463" s="11" t="n">
        <x:f>ROUND(N463-J463,2)</x:f>
        <x:v>0</x:v>
      </x:c>
    </x:row>
    <x:row r="464" ht="84" customHeight="1">
      <x:c r="A464" s="8" t="str">
        <x:v>ED-0012</x:v>
      </x:c>
      <x:c r="B464" s="8" t="str">
        <x:v>Diamantino</x:v>
      </x:c>
      <x:c r="C464" s="8" t="str">
        <x:v>Diamantino</x:v>
      </x:c>
      <x:c r="D464" s="8" t="n">
        <x:v>44</x:v>
      </x:c>
      <x:c r="E464" s="8" t="str">
        <x:v>PONCÃ</x:v>
      </x:c>
      <x:c r="F464" s="8" t="str">
        <x:v>PONCÃ, inteiro, livre de sujidades,</x:v>
      </x:c>
      <x:c r="G464" s="8" t="str">
        <x:v>Quilograma</x:v>
      </x:c>
      <x:c r="H464" s="11" t="n">
        <x:v>408</x:v>
      </x:c>
      <x:c r="I464" s="11" t="n">
        <x:v>12.8</x:v>
      </x:c>
      <x:c r="J464" s="11" t="n">
        <x:v>5222.4</x:v>
      </x:c>
      <x:c r="K464" s="11" t="n">
        <x:v>17</x:v>
      </x:c>
      <x:c r="L464" s="11" t="str">
        <x:v>Extração parcial do início da descrição; conferir unidade/descrição completa no PDF.</x:v>
      </x:c>
      <x:c r="M464" s="11" t="str">
        <x:v>DOC-0013</x:v>
      </x:c>
      <x:c r="N464" s="11" t="n">
        <x:f>H464*I464</x:f>
        <x:v>5222.400000000001</x:v>
      </x:c>
      <x:c r="O464" s="11" t="n">
        <x:f>ROUND(N464-J464,2)</x:f>
        <x:v>0</x:v>
      </x:c>
    </x:row>
    <x:row r="465" ht="84" customHeight="1">
      <x:c r="A465" s="8" t="str">
        <x:v>ED-0012</x:v>
      </x:c>
      <x:c r="B465" s="8" t="str">
        <x:v>Diamantino</x:v>
      </x:c>
      <x:c r="C465" s="8" t="str">
        <x:v>Diamantino</x:v>
      </x:c>
      <x:c r="D465" s="8" t="n">
        <x:v>45</x:v>
      </x:c>
      <x:c r="E465" s="8" t="str">
        <x:v>QUEIJO        MUSSARELA</x:v>
      </x:c>
      <x:c r="F465" s="8" t="str">
        <x:v>QUEIJO        MUSSARELA,           obtido</x:v>
      </x:c>
      <x:c r="G465" s="8" t="str">
        <x:v>Quilograma</x:v>
      </x:c>
      <x:c r="H465" s="11" t="n">
        <x:v>852</x:v>
      </x:c>
      <x:c r="I465" s="11" t="n">
        <x:v>60.93</x:v>
      </x:c>
      <x:c r="J465" s="11" t="n">
        <x:v>51912.36</x:v>
      </x:c>
      <x:c r="K465" s="11" t="n">
        <x:v>17</x:v>
      </x:c>
      <x:c r="L465" s="11" t="str">
        <x:v>Extração parcial do início da descrição; conferir unidade/descrição completa no PDF.</x:v>
      </x:c>
      <x:c r="M465" s="11" t="str">
        <x:v>DOC-0013</x:v>
      </x:c>
      <x:c r="N465" s="11" t="n">
        <x:f>H465*I465</x:f>
        <x:v>51912.36</x:v>
      </x:c>
      <x:c r="O465" s="11" t="n">
        <x:f>ROUND(N465-J465,2)</x:f>
        <x:v>0</x:v>
      </x:c>
    </x:row>
    <x:row r="466" ht="84" customHeight="1">
      <x:c r="A466" s="8" t="str">
        <x:v>ED-0012</x:v>
      </x:c>
      <x:c r="B466" s="8" t="str">
        <x:v>Diamantino</x:v>
      </x:c>
      <x:c r="C466" s="8" t="str">
        <x:v>Diamantino</x:v>
      </x:c>
      <x:c r="D466" s="8" t="n">
        <x:v>46</x:v>
      </x:c>
      <x:c r="E466" s="8" t="str">
        <x:v>REPOLHO               BRANCO/VERDE</x:v>
      </x:c>
      <x:c r="F466" s="8" t="str">
        <x:v>REPOLHO               BRANCO/VERDE,</x:v>
      </x:c>
      <x:c r="G466" s="8" t="str">
        <x:v>Quilograma</x:v>
      </x:c>
      <x:c r="H466" s="11" t="n">
        <x:v>2506</x:v>
      </x:c>
      <x:c r="I466" s="11" t="n">
        <x:v>6.75</x:v>
      </x:c>
      <x:c r="J466" s="11" t="n">
        <x:v>16915.5</x:v>
      </x:c>
      <x:c r="K466" s="11" t="n">
        <x:v>18</x:v>
      </x:c>
      <x:c r="L466" s="11" t="str">
        <x:v>Extração parcial do início da descrição; conferir unidade/descrição completa no PDF.</x:v>
      </x:c>
      <x:c r="M466" s="11" t="str">
        <x:v>DOC-0013</x:v>
      </x:c>
      <x:c r="N466" s="11" t="n">
        <x:f>H466*I466</x:f>
        <x:v>16915.5</x:v>
      </x:c>
      <x:c r="O466" s="11" t="n">
        <x:f>ROUND(N466-J466,2)</x:f>
        <x:v>0</x:v>
      </x:c>
    </x:row>
    <x:row r="467" ht="84" customHeight="1">
      <x:c r="A467" s="8" t="str">
        <x:v>ED-0012</x:v>
      </x:c>
      <x:c r="B467" s="8" t="str">
        <x:v>Diamantino</x:v>
      </x:c>
      <x:c r="C467" s="8" t="str">
        <x:v>Diamantino</x:v>
      </x:c>
      <x:c r="D467" s="8" t="n">
        <x:v>47</x:v>
      </x:c>
      <x:c r="E467" s="8" t="str">
        <x:v>REQUEIJÃO CREMOSO</x:v>
      </x:c>
      <x:c r="F467" s="8" t="str">
        <x:v>REQUEIJÃO CREMOSO, produzido</x:v>
      </x:c>
      <x:c r="G467" s="8" t="str">
        <x:v>Unidade de</x:v>
      </x:c>
      <x:c r="H467" s="11" t="n">
        <x:v>459</x:v>
      </x:c>
      <x:c r="I467" s="11" t="n">
        <x:v>12.8</x:v>
      </x:c>
      <x:c r="J467" s="11" t="n">
        <x:v>5875.2</x:v>
      </x:c>
      <x:c r="K467" s="11" t="n">
        <x:v>18</x:v>
      </x:c>
      <x:c r="L467" s="11" t="str">
        <x:v>Extração parcial do início da descrição; conferir unidade/descrição completa no PDF.</x:v>
      </x:c>
      <x:c r="M467" s="11" t="str">
        <x:v>DOC-0013</x:v>
      </x:c>
      <x:c r="N467" s="11" t="n">
        <x:f>H467*I467</x:f>
        <x:v>5875.200000000001</x:v>
      </x:c>
      <x:c r="O467" s="11" t="n">
        <x:f>ROUND(N467-J467,2)</x:f>
        <x:v>0</x:v>
      </x:c>
    </x:row>
    <x:row r="468" ht="84" customHeight="1">
      <x:c r="A468" s="8" t="str">
        <x:v>ED-0012</x:v>
      </x:c>
      <x:c r="B468" s="8" t="str">
        <x:v>Diamantino</x:v>
      </x:c>
      <x:c r="C468" s="8" t="str">
        <x:v>Diamantino</x:v>
      </x:c>
      <x:c r="D468" s="8" t="n">
        <x:v>48</x:v>
      </x:c>
      <x:c r="E468" s="8" t="str">
        <x:v>RÚCULA</x:v>
      </x:c>
      <x:c r="F468" s="8" t="str">
        <x:v>RÚCULA, com folhas inteiras, livre de</x:v>
      </x:c>
      <x:c r="G468" s="8" t="str">
        <x:v>Quilograma</x:v>
      </x:c>
      <x:c r="H468" s="11" t="n">
        <x:v>919</x:v>
      </x:c>
      <x:c r="I468" s="11" t="n">
        <x:v>24.14</x:v>
      </x:c>
      <x:c r="J468" s="11" t="n">
        <x:v>22184.66</x:v>
      </x:c>
      <x:c r="K468" s="11" t="n">
        <x:v>19</x:v>
      </x:c>
      <x:c r="L468" s="11" t="str">
        <x:v>Extração parcial do início da descrição; conferir unidade/descrição completa no PDF.</x:v>
      </x:c>
      <x:c r="M468" s="11" t="str">
        <x:v>DOC-0013</x:v>
      </x:c>
      <x:c r="N468" s="11" t="n">
        <x:f>H468*I468</x:f>
        <x:v>22184.66</x:v>
      </x:c>
      <x:c r="O468" s="11" t="n">
        <x:f>ROUND(N468-J468,2)</x:f>
        <x:v>0</x:v>
      </x:c>
    </x:row>
    <x:row r="469" ht="84" customHeight="1">
      <x:c r="A469" s="8" t="str">
        <x:v>ED-0012</x:v>
      </x:c>
      <x:c r="B469" s="8" t="str">
        <x:v>Diamantino</x:v>
      </x:c>
      <x:c r="C469" s="8" t="str">
        <x:v>Diamantino</x:v>
      </x:c>
      <x:c r="D469" s="8" t="n">
        <x:v>49</x:v>
      </x:c>
      <x:c r="E469" s="8" t="str">
        <x:v>SALSA</x:v>
      </x:c>
      <x:c r="F469" s="8" t="str">
        <x:v>SALSA, com talos e folhas inteiros,</x:v>
      </x:c>
      <x:c r="G469" s="8" t="str">
        <x:v>Quilograma</x:v>
      </x:c>
      <x:c r="H469" s="11" t="n">
        <x:v>511</x:v>
      </x:c>
      <x:c r="I469" s="11" t="n">
        <x:v>36.39</x:v>
      </x:c>
      <x:c r="J469" s="11" t="n">
        <x:v>18595.29</x:v>
      </x:c>
      <x:c r="K469" s="11" t="n">
        <x:v>19</x:v>
      </x:c>
      <x:c r="L469" s="11" t="str">
        <x:v>Extração parcial do início da descrição; conferir unidade/descrição completa no PDF.</x:v>
      </x:c>
      <x:c r="M469" s="11" t="str">
        <x:v>DOC-0013</x:v>
      </x:c>
      <x:c r="N469" s="11" t="n">
        <x:f>H469*I469</x:f>
        <x:v>18595.29</x:v>
      </x:c>
      <x:c r="O469" s="11" t="n">
        <x:f>ROUND(N469-J469,2)</x:f>
        <x:v>0</x:v>
      </x:c>
    </x:row>
    <x:row r="470" ht="84" customHeight="1">
      <x:c r="A470" s="8" t="str">
        <x:v>ED-0012</x:v>
      </x:c>
      <x:c r="B470" s="8" t="str">
        <x:v>Diamantino</x:v>
      </x:c>
      <x:c r="C470" s="8" t="str">
        <x:v>Diamantino</x:v>
      </x:c>
      <x:c r="D470" s="8" t="n">
        <x:v>50</x:v>
      </x:c>
      <x:c r="E470" s="8" t="str">
        <x:v>TOMATE SALADA</x:v>
      </x:c>
      <x:c r="F470" s="8" t="str">
        <x:v>TOMATE SALADA, inteiros, sem</x:v>
      </x:c>
      <x:c r="G470" s="8" t="str">
        <x:v>Quilograma</x:v>
      </x:c>
      <x:c r="H470" s="11" t="n">
        <x:v>1697</x:v>
      </x:c>
      <x:c r="I470" s="11" t="n">
        <x:v>8.84</x:v>
      </x:c>
      <x:c r="J470" s="11" t="n">
        <x:v>15001.48</x:v>
      </x:c>
      <x:c r="K470" s="11" t="n">
        <x:v>19</x:v>
      </x:c>
      <x:c r="L470" s="11" t="str">
        <x:v>Extração parcial do início da descrição; conferir unidade/descrição completa no PDF.</x:v>
      </x:c>
      <x:c r="M470" s="11" t="str">
        <x:v>DOC-0013</x:v>
      </x:c>
      <x:c r="N470" s="11" t="n">
        <x:f>H470*I470</x:f>
        <x:v>15001.48</x:v>
      </x:c>
      <x:c r="O470" s="11" t="n">
        <x:f>ROUND(N470-J470,2)</x:f>
        <x:v>0</x:v>
      </x:c>
    </x:row>
    <x:row r="471" ht="84" customHeight="1">
      <x:c r="A471" s="8" t="str">
        <x:v>ED-0012</x:v>
      </x:c>
      <x:c r="B471" s="8" t="str">
        <x:v>Diamantino</x:v>
      </x:c>
      <x:c r="C471" s="8" t="str">
        <x:v>Diamantino</x:v>
      </x:c>
      <x:c r="D471" s="8" t="n">
        <x:v>51</x:v>
      </x:c>
      <x:c r="E471" s="8" t="str">
        <x:v>VAGEM</x:v>
      </x:c>
      <x:c r="F471" s="8" t="str">
        <x:v>VAGEM, inteira, livre de sujidades,</x:v>
      </x:c>
      <x:c r="G471" s="8" t="str">
        <x:v>Quilograma</x:v>
      </x:c>
      <x:c r="H471" s="11" t="n">
        <x:v>390</x:v>
      </x:c>
      <x:c r="I471" s="11" t="n">
        <x:v>22.69</x:v>
      </x:c>
      <x:c r="J471" s="11" t="n">
        <x:v>8849.1</x:v>
      </x:c>
      <x:c r="K471" s="11" t="n">
        <x:v>20</x:v>
      </x:c>
      <x:c r="L471" s="11" t="str">
        <x:v>Extração parcial do início da descrição; conferir unidade/descrição completa no PDF.</x:v>
      </x:c>
      <x:c r="M471" s="11" t="str">
        <x:v>DOC-0013</x:v>
      </x:c>
      <x:c r="N471" s="11" t="n">
        <x:f>H471*I471</x:f>
        <x:v>8849.1</x:v>
      </x:c>
      <x:c r="O471" s="11" t="n">
        <x:f>ROUND(N471-J471,2)</x:f>
        <x:v>0</x:v>
      </x:c>
    </x:row>
    <x:row r="472" ht="84" customHeight="1">
      <x:c r="A472" s="8" t="str">
        <x:v>ED-0014</x:v>
      </x:c>
      <x:c r="B472" s="8" t="str">
        <x:v>Diamantino</x:v>
      </x:c>
      <x:c r="C472" s="8" t="str">
        <x:v>São José do Rio Claro</x:v>
      </x:c>
      <x:c r="D472" s="8" t="n">
        <x:v>1</x:v>
      </x:c>
      <x:c r="E472" s="8" t="str">
        <x:v>ABACATE</x:v>
      </x:c>
      <x:c r="F472" s="8" t="str">
        <x:v>ABACATE, inteiro, livre de sujidades,</x:v>
      </x:c>
      <x:c r="G472" s="8" t="str">
        <x:v>Quilograma</x:v>
      </x:c>
      <x:c r="H472" s="11" t="n">
        <x:v>38</x:v>
      </x:c>
      <x:c r="I472" s="11" t="n">
        <x:v>18.42</x:v>
      </x:c>
      <x:c r="J472" s="11" t="n">
        <x:v>699.96</x:v>
      </x:c>
      <x:c r="K472" s="11" t="n">
        <x:v>3</x:v>
      </x:c>
      <x:c r="L472" s="11" t="str">
        <x:v>Extração parcial do início da descrição; conferir unidade/descrição completa no PDF.</x:v>
      </x:c>
      <x:c r="M472" s="11" t="str">
        <x:v>DOC-0015</x:v>
      </x:c>
      <x:c r="N472" s="11" t="n">
        <x:f>H472*I472</x:f>
        <x:v>699.96</x:v>
      </x:c>
      <x:c r="O472" s="11" t="n">
        <x:f>ROUND(N472-J472,2)</x:f>
        <x:v>0</x:v>
      </x:c>
    </x:row>
    <x:row r="473" ht="84" customHeight="1">
      <x:c r="A473" s="8" t="str">
        <x:v>ED-0014</x:v>
      </x:c>
      <x:c r="B473" s="8" t="str">
        <x:v>Diamantino</x:v>
      </x:c>
      <x:c r="C473" s="8" t="str">
        <x:v>São José do Rio Claro</x:v>
      </x:c>
      <x:c r="D473" s="8" t="n">
        <x:v>2</x:v>
      </x:c>
      <x:c r="E473" s="8" t="str">
        <x:v>ABACAXI PÉROLA</x:v>
      </x:c>
      <x:c r="F473" s="8" t="str">
        <x:v>ABACAXI PÉROLA, inteiro, livre de</x:v>
      </x:c>
      <x:c r="G473" s="8" t="str">
        <x:v>Quilograma</x:v>
      </x:c>
      <x:c r="H473" s="11" t="n">
        <x:v>451</x:v>
      </x:c>
      <x:c r="I473" s="11" t="n">
        <x:v>11.21</x:v>
      </x:c>
      <x:c r="J473" s="11" t="n">
        <x:v>5055.71</x:v>
      </x:c>
      <x:c r="K473" s="11" t="n">
        <x:v>3</x:v>
      </x:c>
      <x:c r="L473" s="11" t="str">
        <x:v>Extração parcial do início da descrição; conferir unidade/descrição completa no PDF.</x:v>
      </x:c>
      <x:c r="M473" s="11" t="str">
        <x:v>DOC-0015</x:v>
      </x:c>
      <x:c r="N473" s="11" t="n">
        <x:f>H473*I473</x:f>
        <x:v>5055.71</x:v>
      </x:c>
      <x:c r="O473" s="11" t="n">
        <x:f>ROUND(N473-J473,2)</x:f>
        <x:v>0</x:v>
      </x:c>
    </x:row>
    <x:row r="474" ht="84" customHeight="1">
      <x:c r="A474" s="8" t="str">
        <x:v>ED-0014</x:v>
      </x:c>
      <x:c r="B474" s="8" t="str">
        <x:v>Diamantino</x:v>
      </x:c>
      <x:c r="C474" s="8" t="str">
        <x:v>São José do Rio Claro</x:v>
      </x:c>
      <x:c r="D474" s="8" t="n">
        <x:v>3</x:v>
      </x:c>
      <x:c r="E474" s="8" t="str">
        <x:v>ABÓBORA CABOTIÃ</x:v>
      </x:c>
      <x:c r="F474" s="8" t="str">
        <x:v>ABÓBORA CABOTIÃ, inteira, livre</x:v>
      </x:c>
      <x:c r="G474" s="8" t="str">
        <x:v>Quilograma</x:v>
      </x:c>
      <x:c r="H474" s="11" t="n">
        <x:v>448</x:v>
      </x:c>
      <x:c r="I474" s="11" t="n">
        <x:v>5.62</x:v>
      </x:c>
      <x:c r="J474" s="11" t="n">
        <x:v>2517.76</x:v>
      </x:c>
      <x:c r="K474" s="11" t="n">
        <x:v>3</x:v>
      </x:c>
      <x:c r="L474" s="11" t="str">
        <x:v>Extração parcial do início da descrição; conferir unidade/descrição completa no PDF.</x:v>
      </x:c>
      <x:c r="M474" s="11" t="str">
        <x:v>DOC-0015</x:v>
      </x:c>
      <x:c r="N474" s="11" t="n">
        <x:f>H474*I474</x:f>
        <x:v>2517.76</x:v>
      </x:c>
      <x:c r="O474" s="11" t="n">
        <x:f>ROUND(N474-J474,2)</x:f>
        <x:v>0</x:v>
      </x:c>
    </x:row>
    <x:row r="475" ht="84" customHeight="1">
      <x:c r="A475" s="8" t="str">
        <x:v>ED-0014</x:v>
      </x:c>
      <x:c r="B475" s="8" t="str">
        <x:v>Diamantino</x:v>
      </x:c>
      <x:c r="C475" s="8" t="str">
        <x:v>São José do Rio Claro</x:v>
      </x:c>
      <x:c r="D475" s="8" t="n">
        <x:v>4</x:v>
      </x:c>
      <x:c r="E475" s="8" t="str">
        <x:v>AÇAFRÃO</x:v>
      </x:c>
      <x:c r="F475" s="8" t="str">
        <x:v>AÇAFRÃO, torrado, em pó fino e</x:v>
      </x:c>
      <x:c r="G475" s="8" t="str">
        <x:v>Unidade de</x:v>
      </x:c>
      <x:c r="H475" s="11" t="n">
        <x:v>343</x:v>
      </x:c>
      <x:c r="I475" s="11" t="n">
        <x:v>2.51</x:v>
      </x:c>
      <x:c r="J475" s="11" t="n">
        <x:v>860.93</x:v>
      </x:c>
      <x:c r="K475" s="11" t="n">
        <x:v>4</x:v>
      </x:c>
      <x:c r="L475" s="11" t="str">
        <x:v>Extração parcial do início da descrição; conferir unidade/descrição completa no PDF.</x:v>
      </x:c>
      <x:c r="M475" s="11" t="str">
        <x:v>DOC-0015</x:v>
      </x:c>
      <x:c r="N475" s="11" t="n">
        <x:f>H475*I475</x:f>
        <x:v>860.93</x:v>
      </x:c>
      <x:c r="O475" s="11" t="n">
        <x:f>ROUND(N475-J475,2)</x:f>
        <x:v>0</x:v>
      </x:c>
    </x:row>
    <x:row r="476" ht="84" customHeight="1">
      <x:c r="A476" s="8" t="str">
        <x:v>ED-0014</x:v>
      </x:c>
      <x:c r="B476" s="8" t="str">
        <x:v>Diamantino</x:v>
      </x:c>
      <x:c r="C476" s="8" t="str">
        <x:v>São José do Rio Claro</x:v>
      </x:c>
      <x:c r="D476" s="8" t="n">
        <x:v>6</x:v>
      </x:c>
      <x:c r="E476" s="8" t="str">
        <x:v>AGRIÃO</x:v>
      </x:c>
      <x:c r="F476" s="8" t="str">
        <x:v>AGRIÃO, com folhas inteiras, livre de</x:v>
      </x:c>
      <x:c r="G476" s="8" t="str">
        <x:v>Quilograma</x:v>
      </x:c>
      <x:c r="H476" s="11" t="n">
        <x:v>193</x:v>
      </x:c>
      <x:c r="I476" s="11" t="n">
        <x:v>31.73</x:v>
      </x:c>
      <x:c r="J476" s="11" t="n">
        <x:v>6123.89</x:v>
      </x:c>
      <x:c r="K476" s="11" t="n">
        <x:v>4</x:v>
      </x:c>
      <x:c r="L476" s="11" t="str">
        <x:v>Extração parcial do início da descrição; conferir unidade/descrição completa no PDF.</x:v>
      </x:c>
      <x:c r="M476" s="11" t="str">
        <x:v>DOC-0015</x:v>
      </x:c>
      <x:c r="N476" s="11" t="n">
        <x:f>H476*I476</x:f>
        <x:v>6123.89</x:v>
      </x:c>
      <x:c r="O476" s="11" t="n">
        <x:f>ROUND(N476-J476,2)</x:f>
        <x:v>0</x:v>
      </x:c>
    </x:row>
    <x:row r="477" ht="84" customHeight="1">
      <x:c r="A477" s="8" t="str">
        <x:v>ED-0014</x:v>
      </x:c>
      <x:c r="B477" s="8" t="str">
        <x:v>Diamantino</x:v>
      </x:c>
      <x:c r="C477" s="8" t="str">
        <x:v>São José do Rio Claro</x:v>
      </x:c>
      <x:c r="D477" s="8" t="n">
        <x:v>7</x:v>
      </x:c>
      <x:c r="E477" s="8" t="str">
        <x:v>ALFACE CRESPA</x:v>
      </x:c>
      <x:c r="F477" s="8" t="str">
        <x:v>ALFACE CRESPA, com folhas</x:v>
      </x:c>
      <x:c r="G477" s="8" t="str">
        <x:v>Quilograma</x:v>
      </x:c>
      <x:c r="H477" s="11" t="n">
        <x:v>1398</x:v>
      </x:c>
      <x:c r="I477" s="11" t="n">
        <x:v>31.56</x:v>
      </x:c>
      <x:c r="J477" s="11" t="n">
        <x:v>44120.88</x:v>
      </x:c>
      <x:c r="K477" s="11" t="n">
        <x:v>4</x:v>
      </x:c>
      <x:c r="L477" s="11" t="str">
        <x:v>Extração parcial do início da descrição; conferir unidade/descrição completa no PDF.</x:v>
      </x:c>
      <x:c r="M477" s="11" t="str">
        <x:v>DOC-0015</x:v>
      </x:c>
      <x:c r="N477" s="11" t="n">
        <x:f>H477*I477</x:f>
        <x:v>44120.88</x:v>
      </x:c>
      <x:c r="O477" s="11" t="n">
        <x:f>ROUND(N477-J477,2)</x:f>
        <x:v>0</x:v>
      </x:c>
    </x:row>
    <x:row r="478" ht="84" customHeight="1">
      <x:c r="A478" s="8" t="str">
        <x:v>ED-0014</x:v>
      </x:c>
      <x:c r="B478" s="8" t="str">
        <x:v>Diamantino</x:v>
      </x:c>
      <x:c r="C478" s="8" t="str">
        <x:v>São José do Rio Claro</x:v>
      </x:c>
      <x:c r="D478" s="8" t="n">
        <x:v>8</x:v>
      </x:c>
      <x:c r="E478" s="8" t="str">
        <x:v>ALMEIRÃO</x:v>
      </x:c>
      <x:c r="F478" s="8" t="str">
        <x:v>ALMEIRÃO, com folhas inteiras, livre</x:v>
      </x:c>
      <x:c r="G478" s="8" t="str">
        <x:v>Quilograma</x:v>
      </x:c>
      <x:c r="H478" s="11" t="n">
        <x:v>244</x:v>
      </x:c>
      <x:c r="I478" s="11" t="n">
        <x:v>33.91</x:v>
      </x:c>
      <x:c r="J478" s="11" t="n">
        <x:v>8274.04</x:v>
      </x:c>
      <x:c r="K478" s="11" t="n">
        <x:v>5</x:v>
      </x:c>
      <x:c r="L478" s="11" t="str">
        <x:v>Extração parcial do início da descrição; conferir unidade/descrição completa no PDF.</x:v>
      </x:c>
      <x:c r="M478" s="11" t="str">
        <x:v>DOC-0015</x:v>
      </x:c>
      <x:c r="N478" s="11" t="n">
        <x:f>H478*I478</x:f>
        <x:v>8274.039999999999</x:v>
      </x:c>
      <x:c r="O478" s="11" t="n">
        <x:f>ROUND(N478-J478,2)</x:f>
        <x:v>0</x:v>
      </x:c>
    </x:row>
    <x:row r="479" ht="84" customHeight="1">
      <x:c r="A479" s="8" t="str">
        <x:v>ED-0014</x:v>
      </x:c>
      <x:c r="B479" s="8" t="str">
        <x:v>Diamantino</x:v>
      </x:c>
      <x:c r="C479" s="8" t="str">
        <x:v>São José do Rio Claro</x:v>
      </x:c>
      <x:c r="D479" s="8" t="n">
        <x:v>9</x:v>
      </x:c>
      <x:c r="E479" s="8" t="str">
        <x:v>BANANA DA TERRA</x:v>
      </x:c>
      <x:c r="F479" s="8" t="str">
        <x:v>BANANA DA TERRA, inteira, livre</x:v>
      </x:c>
      <x:c r="G479" s="8" t="str">
        <x:v>Quilograma</x:v>
      </x:c>
      <x:c r="H479" s="11" t="n">
        <x:v>435</x:v>
      </x:c>
      <x:c r="I479" s="11" t="n">
        <x:v>11.07</x:v>
      </x:c>
      <x:c r="J479" s="11" t="n">
        <x:v>4815.45</x:v>
      </x:c>
      <x:c r="K479" s="11" t="n">
        <x:v>5</x:v>
      </x:c>
      <x:c r="L479" s="11" t="str">
        <x:v>Extração parcial do início da descrição; conferir unidade/descrição completa no PDF.</x:v>
      </x:c>
      <x:c r="M479" s="11" t="str">
        <x:v>DOC-0015</x:v>
      </x:c>
      <x:c r="N479" s="11" t="n">
        <x:f>H479*I479</x:f>
        <x:v>4815.45</x:v>
      </x:c>
      <x:c r="O479" s="11" t="n">
        <x:f>ROUND(N479-J479,2)</x:f>
        <x:v>0</x:v>
      </x:c>
    </x:row>
    <x:row r="480" ht="84" customHeight="1">
      <x:c r="A480" s="8" t="str">
        <x:v>ED-0014</x:v>
      </x:c>
      <x:c r="B480" s="8" t="str">
        <x:v>Diamantino</x:v>
      </x:c>
      <x:c r="C480" s="8" t="str">
        <x:v>São José do Rio Claro</x:v>
      </x:c>
      <x:c r="D480" s="8" t="n">
        <x:v>10</x:v>
      </x:c>
      <x:c r="E480" s="8" t="str">
        <x:v>BANANA NANICA</x:v>
      </x:c>
      <x:c r="F480" s="8" t="str">
        <x:v>BANANA NANICA, inteira, livre de</x:v>
      </x:c>
      <x:c r="G480" s="8" t="str">
        <x:v>Quilograma</x:v>
      </x:c>
      <x:c r="H480" s="11" t="n">
        <x:v>648</x:v>
      </x:c>
      <x:c r="I480" s="11" t="n">
        <x:v>9.13</x:v>
      </x:c>
      <x:c r="J480" s="11" t="n">
        <x:v>5916.24</x:v>
      </x:c>
      <x:c r="K480" s="11" t="n">
        <x:v>5</x:v>
      </x:c>
      <x:c r="L480" s="11" t="str">
        <x:v>Extração parcial do início da descrição; conferir unidade/descrição completa no PDF.</x:v>
      </x:c>
      <x:c r="M480" s="11" t="str">
        <x:v>DOC-0015</x:v>
      </x:c>
      <x:c r="N480" s="11" t="n">
        <x:f>H480*I480</x:f>
        <x:v>5916.240000000001</x:v>
      </x:c>
      <x:c r="O480" s="11" t="n">
        <x:f>ROUND(N480-J480,2)</x:f>
        <x:v>0</x:v>
      </x:c>
    </x:row>
    <x:row r="481" ht="84" customHeight="1">
      <x:c r="A481" s="8" t="str">
        <x:v>ED-0014</x:v>
      </x:c>
      <x:c r="B481" s="8" t="str">
        <x:v>Diamantino</x:v>
      </x:c>
      <x:c r="C481" s="8" t="str">
        <x:v>São José do Rio Claro</x:v>
      </x:c>
      <x:c r="D481" s="8" t="n">
        <x:v>11</x:v>
      </x:c>
      <x:c r="E481" s="8" t="str">
        <x:v>BATATA DOCE</x:v>
      </x:c>
      <x:c r="F481" s="8" t="str">
        <x:v>BATATA DOCE, inteira, livre de</x:v>
      </x:c>
      <x:c r="G481" s="8" t="str">
        <x:v>Quilograma</x:v>
      </x:c>
      <x:c r="H481" s="11" t="n">
        <x:v>334</x:v>
      </x:c>
      <x:c r="I481" s="11" t="n">
        <x:v>7.43</x:v>
      </x:c>
      <x:c r="J481" s="11" t="n">
        <x:v>2481.62</x:v>
      </x:c>
      <x:c r="K481" s="11" t="n">
        <x:v>6</x:v>
      </x:c>
      <x:c r="L481" s="11" t="str">
        <x:v>Extração parcial do início da descrição; conferir unidade/descrição completa no PDF.</x:v>
      </x:c>
      <x:c r="M481" s="11" t="str">
        <x:v>DOC-0015</x:v>
      </x:c>
      <x:c r="N481" s="11" t="n">
        <x:f>H481*I481</x:f>
        <x:v>2481.62</x:v>
      </x:c>
      <x:c r="O481" s="11" t="n">
        <x:f>ROUND(N481-J481,2)</x:f>
        <x:v>0</x:v>
      </x:c>
    </x:row>
    <x:row r="482" ht="84" customHeight="1">
      <x:c r="A482" s="8" t="str">
        <x:v>ED-0014</x:v>
      </x:c>
      <x:c r="B482" s="8" t="str">
        <x:v>Diamantino</x:v>
      </x:c>
      <x:c r="C482" s="8" t="str">
        <x:v>São José do Rio Claro</x:v>
      </x:c>
      <x:c r="D482" s="8" t="n">
        <x:v>13</x:v>
      </x:c>
      <x:c r="E482" s="8" t="str">
        <x:v>BETERRABA</x:v>
      </x:c>
      <x:c r="F482" s="8" t="str">
        <x:v>BETERRABA, inteira, livre de</x:v>
      </x:c>
      <x:c r="G482" s="8" t="str">
        <x:v>Quilograma</x:v>
      </x:c>
      <x:c r="H482" s="11" t="n">
        <x:v>193</x:v>
      </x:c>
      <x:c r="I482" s="11" t="n">
        <x:v>5.42</x:v>
      </x:c>
      <x:c r="J482" s="11" t="n">
        <x:v>1046.06</x:v>
      </x:c>
      <x:c r="K482" s="11" t="n">
        <x:v>6</x:v>
      </x:c>
      <x:c r="L482" s="11" t="str">
        <x:v>Extração parcial do início da descrição; conferir unidade/descrição completa no PDF.</x:v>
      </x:c>
      <x:c r="M482" s="11" t="str">
        <x:v>DOC-0015</x:v>
      </x:c>
      <x:c r="N482" s="11" t="n">
        <x:f>H482*I482</x:f>
        <x:v>1046.06</x:v>
      </x:c>
      <x:c r="O482" s="11" t="n">
        <x:f>ROUND(N482-J482,2)</x:f>
        <x:v>0</x:v>
      </x:c>
    </x:row>
    <x:row r="483" ht="84" customHeight="1">
      <x:c r="A483" s="8" t="str">
        <x:v>ED-0014</x:v>
      </x:c>
      <x:c r="B483" s="8" t="str">
        <x:v>Diamantino</x:v>
      </x:c>
      <x:c r="C483" s="8" t="str">
        <x:v>São José do Rio Claro</x:v>
      </x:c>
      <x:c r="D483" s="8" t="n">
        <x:v>14</x:v>
      </x:c>
      <x:c r="E483" s="8" t="str">
        <x:v>BOLO DE CHOCOLATE</x:v>
      </x:c>
      <x:c r="F483" s="8" t="str">
        <x:v>BOLO DE CHOCOLATE, caseiro,</x:v>
      </x:c>
      <x:c r="G483" s="8" t="str">
        <x:v>Quilograma</x:v>
      </x:c>
      <x:c r="H483" s="11" t="n">
        <x:v>733</x:v>
      </x:c>
      <x:c r="I483" s="11" t="n">
        <x:v>43.2</x:v>
      </x:c>
      <x:c r="J483" s="11" t="n">
        <x:v>31665.6</x:v>
      </x:c>
      <x:c r="K483" s="11" t="n">
        <x:v>7</x:v>
      </x:c>
      <x:c r="L483" s="11" t="str">
        <x:v>Extração parcial do início da descrição; conferir unidade/descrição completa no PDF.</x:v>
      </x:c>
      <x:c r="M483" s="11" t="str">
        <x:v>DOC-0015</x:v>
      </x:c>
      <x:c r="N483" s="11" t="n">
        <x:f>H483*I483</x:f>
        <x:v>31665.600000000002</x:v>
      </x:c>
      <x:c r="O483" s="11" t="n">
        <x:f>ROUND(N483-J483,2)</x:f>
        <x:v>0</x:v>
      </x:c>
    </x:row>
    <x:row r="484" ht="84" customHeight="1">
      <x:c r="A484" s="8" t="str">
        <x:v>ED-0014</x:v>
      </x:c>
      <x:c r="B484" s="8" t="str">
        <x:v>Diamantino</x:v>
      </x:c>
      <x:c r="C484" s="8" t="str">
        <x:v>São José do Rio Claro</x:v>
      </x:c>
      <x:c r="D484" s="8" t="n">
        <x:v>15</x:v>
      </x:c>
      <x:c r="E484" s="8" t="str">
        <x:v>BOLO        DE      COCO</x:v>
      </x:c>
      <x:c r="F484" s="8" t="str">
        <x:v>BOLO        DE      COCO,       caseiro,</x:v>
      </x:c>
      <x:c r="G484" s="8" t="str">
        <x:v>Quilograma</x:v>
      </x:c>
      <x:c r="H484" s="11" t="n">
        <x:v>733</x:v>
      </x:c>
      <x:c r="I484" s="11" t="n">
        <x:v>34.65</x:v>
      </x:c>
      <x:c r="J484" s="11" t="n">
        <x:v>25398.45</x:v>
      </x:c>
      <x:c r="K484" s="11" t="n">
        <x:v>7</x:v>
      </x:c>
      <x:c r="L484" s="11" t="str">
        <x:v>Extração parcial do início da descrição; conferir unidade/descrição completa no PDF.</x:v>
      </x:c>
      <x:c r="M484" s="11" t="str">
        <x:v>DOC-0015</x:v>
      </x:c>
      <x:c r="N484" s="11" t="n">
        <x:f>H484*I484</x:f>
        <x:v>25398.45</x:v>
      </x:c>
      <x:c r="O484" s="11" t="n">
        <x:f>ROUND(N484-J484,2)</x:f>
        <x:v>0</x:v>
      </x:c>
    </x:row>
    <x:row r="485" ht="84" customHeight="1">
      <x:c r="A485" s="8" t="str">
        <x:v>ED-0014</x:v>
      </x:c>
      <x:c r="B485" s="8" t="str">
        <x:v>Diamantino</x:v>
      </x:c>
      <x:c r="C485" s="8" t="str">
        <x:v>São José do Rio Claro</x:v>
      </x:c>
      <x:c r="D485" s="8" t="n">
        <x:v>16</x:v>
      </x:c>
      <x:c r="E485" s="8" t="str">
        <x:v>BOLO          SIMPLES</x:v>
      </x:c>
      <x:c r="F485" s="8" t="str">
        <x:v>BOLO          SIMPLES,          caseiro,</x:v>
      </x:c>
      <x:c r="G485" s="8" t="str">
        <x:v>Quilograma</x:v>
      </x:c>
      <x:c r="H485" s="11" t="n">
        <x:v>733</x:v>
      </x:c>
      <x:c r="I485" s="11" t="n">
        <x:v>34.65</x:v>
      </x:c>
      <x:c r="J485" s="11" t="n">
        <x:v>25398.45</x:v>
      </x:c>
      <x:c r="K485" s="11" t="n">
        <x:v>7</x:v>
      </x:c>
      <x:c r="L485" s="11" t="str">
        <x:v>Extração parcial do início da descrição; conferir unidade/descrição completa no PDF.</x:v>
      </x:c>
      <x:c r="M485" s="11" t="str">
        <x:v>DOC-0015</x:v>
      </x:c>
      <x:c r="N485" s="11" t="n">
        <x:f>H485*I485</x:f>
        <x:v>25398.45</x:v>
      </x:c>
      <x:c r="O485" s="11" t="n">
        <x:f>ROUND(N485-J485,2)</x:f>
        <x:v>0</x:v>
      </x:c>
    </x:row>
    <x:row r="486" ht="84" customHeight="1">
      <x:c r="A486" s="8" t="str">
        <x:v>ED-0014</x:v>
      </x:c>
      <x:c r="B486" s="8" t="str">
        <x:v>Diamantino</x:v>
      </x:c>
      <x:c r="C486" s="8" t="str">
        <x:v>São José do Rio Claro</x:v>
      </x:c>
      <x:c r="D486" s="8" t="n">
        <x:v>17</x:v>
      </x:c>
      <x:c r="E486" s="8" t="str">
        <x:v>CAFÉ TORRADO E MOÍDO</x:v>
      </x:c>
      <x:c r="F486" s="8" t="str">
        <x:v>CAFÉ TORRADO E MOÍDO, 1ª</x:v>
      </x:c>
      <x:c r="G486" s="8" t="str">
        <x:v>Unidade de</x:v>
      </x:c>
      <x:c r="H486" s="11" t="n">
        <x:v>722</x:v>
      </x:c>
      <x:c r="I486" s="11" t="n">
        <x:v>21.47</x:v>
      </x:c>
      <x:c r="J486" s="11" t="n">
        <x:v>15501.34</x:v>
      </x:c>
      <x:c r="K486" s="11" t="n">
        <x:v>7</x:v>
      </x:c>
      <x:c r="L486" s="11" t="str">
        <x:v>Extração parcial do início da descrição; conferir unidade/descrição completa no PDF.</x:v>
      </x:c>
      <x:c r="M486" s="11" t="str">
        <x:v>DOC-0015</x:v>
      </x:c>
      <x:c r="N486" s="11" t="n">
        <x:f>H486*I486</x:f>
        <x:v>15501.339999999998</x:v>
      </x:c>
      <x:c r="O486" s="11" t="n">
        <x:f>ROUND(N486-J486,2)</x:f>
        <x:v>0</x:v>
      </x:c>
    </x:row>
    <x:row r="487" ht="84" customHeight="1">
      <x:c r="A487" s="8" t="str">
        <x:v>ED-0014</x:v>
      </x:c>
      <x:c r="B487" s="8" t="str">
        <x:v>Diamantino</x:v>
      </x:c>
      <x:c r="C487" s="8" t="str">
        <x:v>São José do Rio Claro</x:v>
      </x:c>
      <x:c r="D487" s="8" t="n">
        <x:v>18</x:v>
      </x:c>
      <x:c r="E487" s="8" t="str">
        <x:v>CEBOLINHA</x:v>
      </x:c>
      <x:c r="F487" s="8" t="str">
        <x:v>CEBOLINHA, verde, com folhas</x:v>
      </x:c>
      <x:c r="G487" s="8" t="str">
        <x:v>Quilograma</x:v>
      </x:c>
      <x:c r="H487" s="11" t="n">
        <x:v>381</x:v>
      </x:c>
      <x:c r="I487" s="11" t="n">
        <x:v>28.23</x:v>
      </x:c>
      <x:c r="J487" s="11" t="n">
        <x:v>10755.63</x:v>
      </x:c>
      <x:c r="K487" s="11" t="n">
        <x:v>8</x:v>
      </x:c>
      <x:c r="L487" s="11" t="str">
        <x:v>Extração parcial do início da descrição; conferir unidade/descrição completa no PDF.</x:v>
      </x:c>
      <x:c r="M487" s="11" t="str">
        <x:v>DOC-0015</x:v>
      </x:c>
      <x:c r="N487" s="11" t="n">
        <x:f>H487*I487</x:f>
        <x:v>10755.630000000001</x:v>
      </x:c>
      <x:c r="O487" s="11" t="n">
        <x:f>ROUND(N487-J487,2)</x:f>
        <x:v>0</x:v>
      </x:c>
    </x:row>
    <x:row r="488" ht="84" customHeight="1">
      <x:c r="A488" s="8" t="str">
        <x:v>ED-0014</x:v>
      </x:c>
      <x:c r="B488" s="8" t="str">
        <x:v>Diamantino</x:v>
      </x:c>
      <x:c r="C488" s="8" t="str">
        <x:v>São José do Rio Claro</x:v>
      </x:c>
      <x:c r="D488" s="8" t="n">
        <x:v>19</x:v>
      </x:c>
      <x:c r="E488" s="8" t="str">
        <x:v>CENOURA</x:v>
      </x:c>
      <x:c r="F488" s="8" t="str">
        <x:v>CENOURA, inteira, livre de sujidades,</x:v>
      </x:c>
      <x:c r="G488" s="8" t="str">
        <x:v>Quilograma</x:v>
      </x:c>
      <x:c r="H488" s="11" t="n">
        <x:v>1097</x:v>
      </x:c>
      <x:c r="I488" s="11" t="n">
        <x:v>6.22</x:v>
      </x:c>
      <x:c r="J488" s="11" t="n">
        <x:v>6823.34</x:v>
      </x:c>
      <x:c r="K488" s="11" t="n">
        <x:v>8</x:v>
      </x:c>
      <x:c r="L488" s="11" t="str">
        <x:v>Extração parcial do início da descrição; conferir unidade/descrição completa no PDF.</x:v>
      </x:c>
      <x:c r="M488" s="11" t="str">
        <x:v>DOC-0015</x:v>
      </x:c>
      <x:c r="N488" s="11" t="n">
        <x:f>H488*I488</x:f>
        <x:v>6823.34</x:v>
      </x:c>
      <x:c r="O488" s="11" t="n">
        <x:f>ROUND(N488-J488,2)</x:f>
        <x:v>0</x:v>
      </x:c>
    </x:row>
    <x:row r="489" ht="84" customHeight="1">
      <x:c r="A489" s="8" t="str">
        <x:v>ED-0014</x:v>
      </x:c>
      <x:c r="B489" s="8" t="str">
        <x:v>Diamantino</x:v>
      </x:c>
      <x:c r="C489" s="8" t="str">
        <x:v>São José do Rio Claro</x:v>
      </x:c>
      <x:c r="D489" s="8" t="n">
        <x:v>20</x:v>
      </x:c>
      <x:c r="E489" s="8" t="str">
        <x:v>COENTRO</x:v>
      </x:c>
      <x:c r="F489" s="8" t="str">
        <x:v>COENTRO, com talos e folhas</x:v>
      </x:c>
      <x:c r="G489" s="8" t="str">
        <x:v>Quilograma</x:v>
      </x:c>
      <x:c r="H489" s="11" t="n">
        <x:v>36</x:v>
      </x:c>
      <x:c r="I489" s="11" t="n">
        <x:v>32.79</x:v>
      </x:c>
      <x:c r="J489" s="11" t="n">
        <x:v>1180.44</x:v>
      </x:c>
      <x:c r="K489" s="11" t="n">
        <x:v>8</x:v>
      </x:c>
      <x:c r="L489" s="11" t="str">
        <x:v>Extração parcial do início da descrição; conferir unidade/descrição completa no PDF.</x:v>
      </x:c>
      <x:c r="M489" s="11" t="str">
        <x:v>DOC-0015</x:v>
      </x:c>
      <x:c r="N489" s="11" t="n">
        <x:f>H489*I489</x:f>
        <x:v>1180.44</x:v>
      </x:c>
      <x:c r="O489" s="11" t="n">
        <x:f>ROUND(N489-J489,2)</x:f>
        <x:v>0</x:v>
      </x:c>
    </x:row>
    <x:row r="490" ht="84" customHeight="1">
      <x:c r="A490" s="8" t="str">
        <x:v>ED-0014</x:v>
      </x:c>
      <x:c r="B490" s="8" t="str">
        <x:v>Diamantino</x:v>
      </x:c>
      <x:c r="C490" s="8" t="str">
        <x:v>São José do Rio Claro</x:v>
      </x:c>
      <x:c r="D490" s="8" t="n">
        <x:v>21</x:v>
      </x:c>
      <x:c r="E490" s="8" t="str">
        <x:v>COLORAU</x:v>
      </x:c>
      <x:c r="F490" s="8" t="str">
        <x:v>COLORAU, corante, natural de</x:v>
      </x:c>
      <x:c r="G490" s="8" t="str">
        <x:v>Unidade de</x:v>
      </x:c>
      <x:c r="H490" s="11" t="n">
        <x:v>2968</x:v>
      </x:c>
      <x:c r="I490" s="11" t="n">
        <x:v>3.89</x:v>
      </x:c>
      <x:c r="J490" s="11" t="n">
        <x:v>11545.52</x:v>
      </x:c>
      <x:c r="K490" s="11" t="n">
        <x:v>9</x:v>
      </x:c>
      <x:c r="L490" s="11" t="str">
        <x:v>Extração parcial do início da descrição; conferir unidade/descrição completa no PDF.</x:v>
      </x:c>
      <x:c r="M490" s="11" t="str">
        <x:v>DOC-0015</x:v>
      </x:c>
      <x:c r="N490" s="11" t="n">
        <x:f>H490*I490</x:f>
        <x:v>11545.52</x:v>
      </x:c>
      <x:c r="O490" s="11" t="n">
        <x:f>ROUND(N490-J490,2)</x:f>
        <x:v>0</x:v>
      </x:c>
    </x:row>
    <x:row r="491" ht="84" customHeight="1">
      <x:c r="A491" s="8" t="str">
        <x:v>ED-0014</x:v>
      </x:c>
      <x:c r="B491" s="8" t="str">
        <x:v>Diamantino</x:v>
      </x:c>
      <x:c r="C491" s="8" t="str">
        <x:v>São José do Rio Claro</x:v>
      </x:c>
      <x:c r="D491" s="8" t="n">
        <x:v>22</x:v>
      </x:c>
      <x:c r="E491" s="8" t="str">
        <x:v>COUVE</x:v>
      </x:c>
      <x:c r="F491" s="8" t="str">
        <x:v>COUVE, manteiga com folhas inteiras,</x:v>
      </x:c>
      <x:c r="G491" s="8" t="str">
        <x:v>Quilograma</x:v>
      </x:c>
      <x:c r="H491" s="11" t="n">
        <x:v>1208</x:v>
      </x:c>
      <x:c r="I491" s="11" t="n">
        <x:v>28.85</x:v>
      </x:c>
      <x:c r="J491" s="11" t="n">
        <x:v>34850.8</x:v>
      </x:c>
      <x:c r="K491" s="11" t="n">
        <x:v>9</x:v>
      </x:c>
      <x:c r="L491" s="11" t="str">
        <x:v>Extração parcial do início da descrição; conferir unidade/descrição completa no PDF.</x:v>
      </x:c>
      <x:c r="M491" s="11" t="str">
        <x:v>DOC-0015</x:v>
      </x:c>
      <x:c r="N491" s="11" t="n">
        <x:f>H491*I491</x:f>
        <x:v>34850.8</x:v>
      </x:c>
      <x:c r="O491" s="11" t="n">
        <x:f>ROUND(N491-J491,2)</x:f>
        <x:v>0</x:v>
      </x:c>
    </x:row>
    <x:row r="492" ht="84" customHeight="1">
      <x:c r="A492" s="8" t="str">
        <x:v>ED-0014</x:v>
      </x:c>
      <x:c r="B492" s="8" t="str">
        <x:v>Diamantino</x:v>
      </x:c>
      <x:c r="C492" s="8" t="str">
        <x:v>São José do Rio Claro</x:v>
      </x:c>
      <x:c r="D492" s="8" t="n">
        <x:v>23</x:v>
      </x:c>
      <x:c r="E492" s="8" t="str">
        <x:v>FARINHA DE MANDIOCA</x:v>
      </x:c>
      <x:c r="F492" s="8" t="str">
        <x:v>FARINHA DE MANDIOCA, do tipo</x:v>
      </x:c>
      <x:c r="G492" s="8" t="str">
        <x:v>Unidade de</x:v>
      </x:c>
      <x:c r="H492" s="11" t="n">
        <x:v>544</x:v>
      </x:c>
      <x:c r="I492" s="11" t="n">
        <x:v>9.29</x:v>
      </x:c>
      <x:c r="J492" s="11" t="n">
        <x:v>5053.76</x:v>
      </x:c>
      <x:c r="K492" s="11" t="n">
        <x:v>9</x:v>
      </x:c>
      <x:c r="L492" s="11" t="str">
        <x:v>Extração parcial do início da descrição; conferir unidade/descrição completa no PDF.</x:v>
      </x:c>
      <x:c r="M492" s="11" t="str">
        <x:v>DOC-0015</x:v>
      </x:c>
      <x:c r="N492" s="11" t="n">
        <x:f>H492*I492</x:f>
        <x:v>5053.759999999999</x:v>
      </x:c>
      <x:c r="O492" s="11" t="n">
        <x:f>ROUND(N492-J492,2)</x:f>
        <x:v>0</x:v>
      </x:c>
    </x:row>
    <x:row r="493" ht="84" customHeight="1">
      <x:c r="A493" s="8" t="str">
        <x:v>ED-0014</x:v>
      </x:c>
      <x:c r="B493" s="8" t="str">
        <x:v>Diamantino</x:v>
      </x:c>
      <x:c r="C493" s="8" t="str">
        <x:v>São José do Rio Claro</x:v>
      </x:c>
      <x:c r="D493" s="8" t="n">
        <x:v>24</x:v>
      </x:c>
      <x:c r="E493" s="8" t="str">
        <x:v>INHAME</x:v>
      </x:c>
      <x:c r="F493" s="8" t="str">
        <x:v>INHAME, in natura, tamanho e</x:v>
      </x:c>
      <x:c r="G493" s="8" t="str">
        <x:v>Quilograma</x:v>
      </x:c>
      <x:c r="H493" s="11" t="n">
        <x:v>237</x:v>
      </x:c>
      <x:c r="I493" s="11" t="n">
        <x:v>13.69</x:v>
      </x:c>
      <x:c r="J493" s="11" t="n">
        <x:v>3244.53</x:v>
      </x:c>
      <x:c r="K493" s="11" t="n">
        <x:v>10</x:v>
      </x:c>
      <x:c r="L493" s="11" t="str">
        <x:v>Extração parcial do início da descrição; conferir unidade/descrição completa no PDF.</x:v>
      </x:c>
      <x:c r="M493" s="11" t="str">
        <x:v>DOC-0015</x:v>
      </x:c>
      <x:c r="N493" s="11" t="n">
        <x:f>H493*I493</x:f>
        <x:v>3244.5299999999997</x:v>
      </x:c>
      <x:c r="O493" s="11" t="n">
        <x:f>ROUND(N493-J493,2)</x:f>
        <x:v>0</x:v>
      </x:c>
    </x:row>
    <x:row r="494" ht="84" customHeight="1">
      <x:c r="A494" s="8" t="str">
        <x:v>ED-0014</x:v>
      </x:c>
      <x:c r="B494" s="8" t="str">
        <x:v>Diamantino</x:v>
      </x:c>
      <x:c r="C494" s="8" t="str">
        <x:v>São José do Rio Claro</x:v>
      </x:c>
      <x:c r="D494" s="8" t="n">
        <x:v>25</x:v>
      </x:c>
      <x:c r="E494" s="8" t="str">
        <x:v>LARANJA PÊRA</x:v>
      </x:c>
      <x:c r="F494" s="8" t="str">
        <x:v>LARANJA PÊRA, inteira, livre de</x:v>
      </x:c>
      <x:c r="G494" s="8" t="str">
        <x:v>Quilograma</x:v>
      </x:c>
      <x:c r="H494" s="11" t="n">
        <x:v>1788</x:v>
      </x:c>
      <x:c r="I494" s="11" t="n">
        <x:v>10.85</x:v>
      </x:c>
      <x:c r="J494" s="11" t="n">
        <x:v>19399.8</x:v>
      </x:c>
      <x:c r="K494" s="11" t="n">
        <x:v>10</x:v>
      </x:c>
      <x:c r="L494" s="11" t="str">
        <x:v>Extração parcial do início da descrição; conferir unidade/descrição completa no PDF.</x:v>
      </x:c>
      <x:c r="M494" s="11" t="str">
        <x:v>DOC-0015</x:v>
      </x:c>
      <x:c r="N494" s="11" t="n">
        <x:f>H494*I494</x:f>
        <x:v>19399.8</x:v>
      </x:c>
      <x:c r="O494" s="11" t="n">
        <x:f>ROUND(N494-J494,2)</x:f>
        <x:v>0</x:v>
      </x:c>
    </x:row>
    <x:row r="495" ht="84" customHeight="1">
      <x:c r="A495" s="8" t="str">
        <x:v>ED-0014</x:v>
      </x:c>
      <x:c r="B495" s="8" t="str">
        <x:v>Diamantino</x:v>
      </x:c>
      <x:c r="C495" s="8" t="str">
        <x:v>São José do Rio Claro</x:v>
      </x:c>
      <x:c r="D495" s="8" t="n">
        <x:v>26</x:v>
      </x:c>
      <x:c r="E495" s="8" t="str">
        <x:v>LEITE               PASTEURIZADO</x:v>
      </x:c>
      <x:c r="F495" s="8" t="str">
        <x:v>LEITE               PASTEURIZADO</x:v>
      </x:c>
      <x:c r="G495" s="8" t="str">
        <x:v>Unidade de</x:v>
      </x:c>
      <x:c r="H495" s="11" t="n">
        <x:v>10435</x:v>
      </x:c>
      <x:c r="I495" s="11" t="n">
        <x:v>7.52</x:v>
      </x:c>
      <x:c r="J495" s="11" t="n">
        <x:v>78471.2</x:v>
      </x:c>
      <x:c r="K495" s="11" t="n">
        <x:v>10</x:v>
      </x:c>
      <x:c r="L495" s="11" t="str">
        <x:v>Extração parcial do início da descrição; conferir unidade/descrição completa no PDF.</x:v>
      </x:c>
      <x:c r="M495" s="11" t="str">
        <x:v>DOC-0015</x:v>
      </x:c>
      <x:c r="N495" s="11" t="n">
        <x:f>H495*I495</x:f>
        <x:v>78471.2</x:v>
      </x:c>
      <x:c r="O495" s="11" t="n">
        <x:f>ROUND(N495-J495,2)</x:f>
        <x:v>0</x:v>
      </x:c>
    </x:row>
    <x:row r="496" ht="84" customHeight="1">
      <x:c r="A496" s="8" t="str">
        <x:v>ED-0014</x:v>
      </x:c>
      <x:c r="B496" s="8" t="str">
        <x:v>Diamantino</x:v>
      </x:c>
      <x:c r="C496" s="8" t="str">
        <x:v>São José do Rio Claro</x:v>
      </x:c>
      <x:c r="D496" s="8" t="n">
        <x:v>27</x:v>
      </x:c>
      <x:c r="E496" s="8" t="str">
        <x:v>LIMÃO TAHITI</x:v>
      </x:c>
      <x:c r="F496" s="8" t="str">
        <x:v>LIMÃO TAHITI, inteiro, livre de</x:v>
      </x:c>
      <x:c r="G496" s="8" t="str">
        <x:v>Quilograma</x:v>
      </x:c>
      <x:c r="H496" s="11" t="n">
        <x:v>244</x:v>
      </x:c>
      <x:c r="I496" s="11" t="n">
        <x:v>13.45</x:v>
      </x:c>
      <x:c r="J496" s="11" t="n">
        <x:v>3281.8</x:v>
      </x:c>
      <x:c r="K496" s="11" t="n">
        <x:v>10</x:v>
      </x:c>
      <x:c r="L496" s="11" t="str">
        <x:v>Extração parcial do início da descrição; conferir unidade/descrição completa no PDF.</x:v>
      </x:c>
      <x:c r="M496" s="11" t="str">
        <x:v>DOC-0015</x:v>
      </x:c>
      <x:c r="N496" s="11" t="n">
        <x:f>H496*I496</x:f>
        <x:v>3281.7999999999997</x:v>
      </x:c>
      <x:c r="O496" s="11" t="n">
        <x:f>ROUND(N496-J496,2)</x:f>
        <x:v>0</x:v>
      </x:c>
    </x:row>
    <x:row r="497" ht="84" customHeight="1">
      <x:c r="A497" s="8" t="str">
        <x:v>ED-0014</x:v>
      </x:c>
      <x:c r="B497" s="8" t="str">
        <x:v>Diamantino</x:v>
      </x:c>
      <x:c r="C497" s="8" t="str">
        <x:v>São José do Rio Claro</x:v>
      </x:c>
      <x:c r="D497" s="8" t="n">
        <x:v>28</x:v>
      </x:c>
      <x:c r="E497" s="8" t="str">
        <x:v>MAMÃO FORMOSA</x:v>
      </x:c>
      <x:c r="F497" s="8" t="str">
        <x:v>MAMÃO FORMOSA, livre de</x:v>
      </x:c>
      <x:c r="G497" s="8" t="str">
        <x:v>Quilograma</x:v>
      </x:c>
      <x:c r="H497" s="11" t="n">
        <x:v>490</x:v>
      </x:c>
      <x:c r="I497" s="11" t="n">
        <x:v>11.89</x:v>
      </x:c>
      <x:c r="J497" s="11" t="n">
        <x:v>5826.1</x:v>
      </x:c>
      <x:c r="K497" s="11" t="n">
        <x:v>11</x:v>
      </x:c>
      <x:c r="L497" s="11" t="str">
        <x:v>Extração parcial do início da descrição; conferir unidade/descrição completa no PDF.</x:v>
      </x:c>
      <x:c r="M497" s="11" t="str">
        <x:v>DOC-0015</x:v>
      </x:c>
      <x:c r="N497" s="11" t="n">
        <x:f>H497*I497</x:f>
        <x:v>5826.1</x:v>
      </x:c>
      <x:c r="O497" s="11" t="n">
        <x:f>ROUND(N497-J497,2)</x:f>
        <x:v>0</x:v>
      </x:c>
    </x:row>
    <x:row r="498" ht="84" customHeight="1">
      <x:c r="A498" s="8" t="str">
        <x:v>ED-0014</x:v>
      </x:c>
      <x:c r="B498" s="8" t="str">
        <x:v>Diamantino</x:v>
      </x:c>
      <x:c r="C498" s="8" t="str">
        <x:v>São José do Rio Claro</x:v>
      </x:c>
      <x:c r="D498" s="8" t="n">
        <x:v>29</x:v>
      </x:c>
      <x:c r="E498" s="8" t="str">
        <x:v>MANDIOCA                DESCASCADA</x:v>
      </x:c>
      <x:c r="F498" s="8" t="str">
        <x:v>MANDIOCA                DESCASCADA</x:v>
      </x:c>
      <x:c r="G498" s="8" t="str">
        <x:v>Unidade de</x:v>
      </x:c>
      <x:c r="H498" s="11" t="n">
        <x:v>786</x:v>
      </x:c>
      <x:c r="I498" s="11" t="n">
        <x:v>11.92</x:v>
      </x:c>
      <x:c r="J498" s="11" t="n">
        <x:v>9369.12</x:v>
      </x:c>
      <x:c r="K498" s="11" t="n">
        <x:v>11</x:v>
      </x:c>
      <x:c r="L498" s="11" t="str">
        <x:v>Extração parcial do início da descrição; conferir unidade/descrição completa no PDF.</x:v>
      </x:c>
      <x:c r="M498" s="11" t="str">
        <x:v>DOC-0015</x:v>
      </x:c>
      <x:c r="N498" s="11" t="n">
        <x:f>H498*I498</x:f>
        <x:v>9369.12</x:v>
      </x:c>
      <x:c r="O498" s="11" t="n">
        <x:f>ROUND(N498-J498,2)</x:f>
        <x:v>0</x:v>
      </x:c>
    </x:row>
    <x:row r="499" ht="84" customHeight="1">
      <x:c r="A499" s="8" t="str">
        <x:v>ED-0014</x:v>
      </x:c>
      <x:c r="B499" s="8" t="str">
        <x:v>Diamantino</x:v>
      </x:c>
      <x:c r="C499" s="8" t="str">
        <x:v>São José do Rio Claro</x:v>
      </x:c>
      <x:c r="D499" s="8" t="n">
        <x:v>30</x:v>
      </x:c>
      <x:c r="E499" s="8" t="str">
        <x:v>MANTEIGA PURA COM SAL</x:v>
      </x:c>
      <x:c r="F499" s="8" t="str">
        <x:v>MANTEIGA PURA COM SAL,</x:v>
      </x:c>
      <x:c r="G499" s="8" t="str">
        <x:v>Unidade de</x:v>
      </x:c>
      <x:c r="H499" s="11" t="n">
        <x:v>1057</x:v>
      </x:c>
      <x:c r="I499" s="11" t="n">
        <x:v>38.79</x:v>
      </x:c>
      <x:c r="J499" s="11" t="n">
        <x:v>41001.03</x:v>
      </x:c>
      <x:c r="K499" s="11" t="n">
        <x:v>12</x:v>
      </x:c>
      <x:c r="L499" s="11" t="str">
        <x:v>Extração parcial do início da descrição; conferir unidade/descrição completa no PDF.</x:v>
      </x:c>
      <x:c r="M499" s="11" t="str">
        <x:v>DOC-0015</x:v>
      </x:c>
      <x:c r="N499" s="11" t="n">
        <x:f>H499*I499</x:f>
        <x:v>41001.03</x:v>
      </x:c>
      <x:c r="O499" s="11" t="n">
        <x:f>ROUND(N499-J499,2)</x:f>
        <x:v>0</x:v>
      </x:c>
    </x:row>
    <x:row r="500" ht="84" customHeight="1">
      <x:c r="A500" s="8" t="str">
        <x:v>ED-0014</x:v>
      </x:c>
      <x:c r="B500" s="8" t="str">
        <x:v>Diamantino</x:v>
      </x:c>
      <x:c r="C500" s="8" t="str">
        <x:v>São José do Rio Claro</x:v>
      </x:c>
      <x:c r="D500" s="8" t="n">
        <x:v>33</x:v>
      </x:c>
      <x:c r="E500" s="8" t="str">
        <x:v>PÃO CASEIRO</x:v>
      </x:c>
      <x:c r="F500" s="8" t="str">
        <x:v>PÃO CASEIRO, de boa qualidade,</x:v>
      </x:c>
      <x:c r="G500" s="8" t="str">
        <x:v>Quilograma</x:v>
      </x:c>
      <x:c r="H500" s="11" t="n">
        <x:v>1625</x:v>
      </x:c>
      <x:c r="I500" s="11" t="n">
        <x:v>24</x:v>
      </x:c>
      <x:c r="J500" s="11" t="n">
        <x:v>39000</x:v>
      </x:c>
      <x:c r="K500" s="11" t="n">
        <x:v>13</x:v>
      </x:c>
      <x:c r="L500" s="11" t="str">
        <x:v>Extração parcial do início da descrição; conferir unidade/descrição completa no PDF.</x:v>
      </x:c>
      <x:c r="M500" s="11" t="str">
        <x:v>DOC-0015</x:v>
      </x:c>
      <x:c r="N500" s="11" t="n">
        <x:f>H500*I500</x:f>
        <x:v>39000</x:v>
      </x:c>
      <x:c r="O500" s="11" t="n">
        <x:f>ROUND(N500-J500,2)</x:f>
        <x:v>0</x:v>
      </x:c>
    </x:row>
    <x:row r="501" ht="84" customHeight="1">
      <x:c r="A501" s="8" t="str">
        <x:v>ED-0014</x:v>
      </x:c>
      <x:c r="B501" s="8" t="str">
        <x:v>Diamantino</x:v>
      </x:c>
      <x:c r="C501" s="8" t="str">
        <x:v>São José do Rio Claro</x:v>
      </x:c>
      <x:c r="D501" s="8" t="n">
        <x:v>34</x:v>
      </x:c>
      <x:c r="E501" s="8" t="str">
        <x:v>PEIXE PINTADO FILÉ</x:v>
      </x:c>
      <x:c r="F501" s="8" t="str">
        <x:v>PEIXE PINTADO FILÉ, de água</x:v>
      </x:c>
      <x:c r="G501" s="8" t="str">
        <x:v>Unidade de</x:v>
      </x:c>
      <x:c r="H501" s="11" t="n">
        <x:v>288</x:v>
      </x:c>
      <x:c r="I501" s="11" t="n">
        <x:v>68.87</x:v>
      </x:c>
      <x:c r="J501" s="11" t="n">
        <x:v>19834.56</x:v>
      </x:c>
      <x:c r="K501" s="11" t="n">
        <x:v>13</x:v>
      </x:c>
      <x:c r="L501" s="11" t="str">
        <x:v>Extração parcial do início da descrição; conferir unidade/descrição completa no PDF.</x:v>
      </x:c>
      <x:c r="M501" s="11" t="str">
        <x:v>DOC-0015</x:v>
      </x:c>
      <x:c r="N501" s="11" t="n">
        <x:f>H501*I501</x:f>
        <x:v>19834.56</x:v>
      </x:c>
      <x:c r="O501" s="11" t="n">
        <x:f>ROUND(N501-J501,2)</x:f>
        <x:v>0</x:v>
      </x:c>
    </x:row>
    <x:row r="502" ht="84" customHeight="1">
      <x:c r="A502" s="8" t="str">
        <x:v>ED-0014</x:v>
      </x:c>
      <x:c r="B502" s="8" t="str">
        <x:v>Diamantino</x:v>
      </x:c>
      <x:c r="C502" s="8" t="str">
        <x:v>São José do Rio Claro</x:v>
      </x:c>
      <x:c r="D502" s="8" t="n">
        <x:v>35</x:v>
      </x:c>
      <x:c r="E502" s="8" t="str">
        <x:v>PEIXE PINTADO FILÉ EM</x:v>
      </x:c>
      <x:c r="F502" s="8" t="str">
        <x:v>PEIXE PINTADO FILÉ EM</x:v>
      </x:c>
      <x:c r="G502" s="8" t="str">
        <x:v>Unidade de</x:v>
      </x:c>
      <x:c r="H502" s="11" t="n">
        <x:v>288</x:v>
      </x:c>
      <x:c r="I502" s="11" t="n">
        <x:v>68.87</x:v>
      </x:c>
      <x:c r="J502" s="11" t="n">
        <x:v>19834.56</x:v>
      </x:c>
      <x:c r="K502" s="11" t="n">
        <x:v>13</x:v>
      </x:c>
      <x:c r="L502" s="11" t="str">
        <x:v>Extração parcial do início da descrição; conferir unidade/descrição completa no PDF.</x:v>
      </x:c>
      <x:c r="M502" s="11" t="str">
        <x:v>DOC-0015</x:v>
      </x:c>
      <x:c r="N502" s="11" t="n">
        <x:f>H502*I502</x:f>
        <x:v>19834.56</x:v>
      </x:c>
      <x:c r="O502" s="11" t="n">
        <x:f>ROUND(N502-J502,2)</x:f>
        <x:v>0</x:v>
      </x:c>
    </x:row>
    <x:row r="503" ht="84" customHeight="1">
      <x:c r="A503" s="8" t="str">
        <x:v>ED-0014</x:v>
      </x:c>
      <x:c r="B503" s="8" t="str">
        <x:v>Diamantino</x:v>
      </x:c>
      <x:c r="C503" s="8" t="str">
        <x:v>São José do Rio Claro</x:v>
      </x:c>
      <x:c r="D503" s="8" t="n">
        <x:v>36</x:v>
      </x:c>
      <x:c r="E503" s="8" t="str">
        <x:v>PEIXE TILÁPIA FILÉ</x:v>
      </x:c>
      <x:c r="F503" s="8" t="str">
        <x:v>PEIXE TILÁPIA FILÉ, peixe de água</x:v>
      </x:c>
      <x:c r="G503" s="8" t="str">
        <x:v>Unidade de</x:v>
      </x:c>
      <x:c r="H503" s="11" t="n">
        <x:v>286</x:v>
      </x:c>
      <x:c r="I503" s="11" t="n">
        <x:v>68</x:v>
      </x:c>
      <x:c r="J503" s="11" t="n">
        <x:v>19448</x:v>
      </x:c>
      <x:c r="K503" s="11" t="n">
        <x:v>13</x:v>
      </x:c>
      <x:c r="L503" s="11" t="str">
        <x:v>Extração parcial do início da descrição; conferir unidade/descrição completa no PDF.</x:v>
      </x:c>
      <x:c r="M503" s="11" t="str">
        <x:v>DOC-0015</x:v>
      </x:c>
      <x:c r="N503" s="11" t="n">
        <x:f>H503*I503</x:f>
        <x:v>19448</x:v>
      </x:c>
      <x:c r="O503" s="11" t="n">
        <x:f>ROUND(N503-J503,2)</x:f>
        <x:v>0</x:v>
      </x:c>
    </x:row>
    <x:row r="504" ht="84" customHeight="1">
      <x:c r="A504" s="8" t="str">
        <x:v>ED-0014</x:v>
      </x:c>
      <x:c r="B504" s="8" t="str">
        <x:v>Diamantino</x:v>
      </x:c>
      <x:c r="C504" s="8" t="str">
        <x:v>São José do Rio Claro</x:v>
      </x:c>
      <x:c r="D504" s="8" t="n">
        <x:v>38</x:v>
      </x:c>
      <x:c r="E504" s="8" t="str">
        <x:v>PIMENTA DE CHEIRO</x:v>
      </x:c>
      <x:c r="F504" s="8" t="str">
        <x:v>PIMENTA DE CHEIRO, inteira, livre</x:v>
      </x:c>
      <x:c r="G504" s="8" t="str">
        <x:v>Quilograma</x:v>
      </x:c>
      <x:c r="H504" s="11" t="n">
        <x:v>72</x:v>
      </x:c>
      <x:c r="I504" s="11" t="n">
        <x:v>26.55</x:v>
      </x:c>
      <x:c r="J504" s="11" t="n">
        <x:v>1911.6</x:v>
      </x:c>
      <x:c r="K504" s="11" t="n">
        <x:v>14</x:v>
      </x:c>
      <x:c r="L504" s="11" t="str">
        <x:v>Extração parcial do início da descrição; conferir unidade/descrição completa no PDF.</x:v>
      </x:c>
      <x:c r="M504" s="11" t="str">
        <x:v>DOC-0015</x:v>
      </x:c>
      <x:c r="N504" s="11" t="n">
        <x:f>H504*I504</x:f>
        <x:v>1911.6000000000001</x:v>
      </x:c>
      <x:c r="O504" s="11" t="n">
        <x:f>ROUND(N504-J504,2)</x:f>
        <x:v>0</x:v>
      </x:c>
    </x:row>
    <x:row r="505" ht="84" customHeight="1">
      <x:c r="A505" s="8" t="str">
        <x:v>ED-0014</x:v>
      </x:c>
      <x:c r="B505" s="8" t="str">
        <x:v>Diamantino</x:v>
      </x:c>
      <x:c r="C505" s="8" t="str">
        <x:v>São José do Rio Claro</x:v>
      </x:c>
      <x:c r="D505" s="8" t="n">
        <x:v>39</x:v>
      </x:c>
      <x:c r="E505" s="8" t="str">
        <x:v>PIMENTÃO VERDE</x:v>
      </x:c>
      <x:c r="F505" s="8" t="str">
        <x:v>PIMENTÃO VERDE, inteiro, livre de</x:v>
      </x:c>
      <x:c r="G505" s="8" t="str">
        <x:v>Quilograma</x:v>
      </x:c>
      <x:c r="H505" s="11" t="n">
        <x:v>62</x:v>
      </x:c>
      <x:c r="I505" s="11" t="n">
        <x:v>12.21</x:v>
      </x:c>
      <x:c r="J505" s="11" t="n">
        <x:v>757.02</x:v>
      </x:c>
      <x:c r="K505" s="11" t="n">
        <x:v>14</x:v>
      </x:c>
      <x:c r="L505" s="11" t="str">
        <x:v>Extração parcial do início da descrição; conferir unidade/descrição completa no PDF.</x:v>
      </x:c>
      <x:c r="M505" s="11" t="str">
        <x:v>DOC-0015</x:v>
      </x:c>
      <x:c r="N505" s="11" t="n">
        <x:f>H505*I505</x:f>
        <x:v>757.0200000000001</x:v>
      </x:c>
      <x:c r="O505" s="11" t="n">
        <x:f>ROUND(N505-J505,2)</x:f>
        <x:v>0</x:v>
      </x:c>
    </x:row>
    <x:row r="506" ht="84" customHeight="1">
      <x:c r="A506" s="8" t="str">
        <x:v>ED-0014</x:v>
      </x:c>
      <x:c r="B506" s="8" t="str">
        <x:v>Diamantino</x:v>
      </x:c>
      <x:c r="C506" s="8" t="str">
        <x:v>São José do Rio Claro</x:v>
      </x:c>
      <x:c r="D506" s="8" t="n">
        <x:v>40</x:v>
      </x:c>
      <x:c r="E506" s="8" t="str">
        <x:v>POLPA DE ABACAXI</x:v>
      </x:c>
      <x:c r="F506" s="8" t="str">
        <x:v>POLPA DE ABACAXI, SEM adição</x:v>
      </x:c>
      <x:c r="G506" s="8" t="str">
        <x:v>Unidade de</x:v>
      </x:c>
      <x:c r="H506" s="11" t="n">
        <x:v>729</x:v>
      </x:c>
      <x:c r="I506" s="11" t="n">
        <x:v>32.17</x:v>
      </x:c>
      <x:c r="J506" s="11" t="n">
        <x:v>23451.93</x:v>
      </x:c>
      <x:c r="K506" s="11" t="n">
        <x:v>15</x:v>
      </x:c>
      <x:c r="L506" s="11" t="str">
        <x:v>Extração parcial do início da descrição; conferir unidade/descrição completa no PDF.</x:v>
      </x:c>
      <x:c r="M506" s="11" t="str">
        <x:v>DOC-0015</x:v>
      </x:c>
      <x:c r="N506" s="11" t="n">
        <x:f>H506*I506</x:f>
        <x:v>23451.93</x:v>
      </x:c>
      <x:c r="O506" s="11" t="n">
        <x:f>ROUND(N506-J506,2)</x:f>
        <x:v>0</x:v>
      </x:c>
    </x:row>
    <x:row r="507" ht="84" customHeight="1">
      <x:c r="A507" s="8" t="str">
        <x:v>ED-0014</x:v>
      </x:c>
      <x:c r="B507" s="8" t="str">
        <x:v>Diamantino</x:v>
      </x:c>
      <x:c r="C507" s="8" t="str">
        <x:v>São José do Rio Claro</x:v>
      </x:c>
      <x:c r="D507" s="8" t="n">
        <x:v>41</x:v>
      </x:c>
      <x:c r="E507" s="8" t="str">
        <x:v>POLPA DE ACEROLA</x:v>
      </x:c>
      <x:c r="F507" s="8" t="str">
        <x:v>POLPA DE ACEROLA, SEM adição</x:v>
      </x:c>
      <x:c r="G507" s="8" t="str">
        <x:v>Unidade de</x:v>
      </x:c>
      <x:c r="H507" s="11" t="n">
        <x:v>729</x:v>
      </x:c>
      <x:c r="I507" s="11" t="n">
        <x:v>35.93</x:v>
      </x:c>
      <x:c r="J507" s="11" t="n">
        <x:v>26192.97</x:v>
      </x:c>
      <x:c r="K507" s="11" t="n">
        <x:v>15</x:v>
      </x:c>
      <x:c r="L507" s="11" t="str">
        <x:v>Extração parcial do início da descrição; conferir unidade/descrição completa no PDF.</x:v>
      </x:c>
      <x:c r="M507" s="11" t="str">
        <x:v>DOC-0015</x:v>
      </x:c>
      <x:c r="N507" s="11" t="n">
        <x:f>H507*I507</x:f>
        <x:v>26192.97</x:v>
      </x:c>
      <x:c r="O507" s="11" t="n">
        <x:f>ROUND(N507-J507,2)</x:f>
        <x:v>0</x:v>
      </x:c>
    </x:row>
    <x:row r="508" ht="84" customHeight="1">
      <x:c r="A508" s="8" t="str">
        <x:v>ED-0014</x:v>
      </x:c>
      <x:c r="B508" s="8" t="str">
        <x:v>Diamantino</x:v>
      </x:c>
      <x:c r="C508" s="8" t="str">
        <x:v>São José do Rio Claro</x:v>
      </x:c>
      <x:c r="D508" s="8" t="n">
        <x:v>42</x:v>
      </x:c>
      <x:c r="E508" s="8" t="str">
        <x:v>POLPA DE CAJÚ</x:v>
      </x:c>
      <x:c r="F508" s="8" t="str">
        <x:v>POLPA DE CAJÚ, SEM adição de</x:v>
      </x:c>
      <x:c r="G508" s="8" t="str">
        <x:v>Unidade de</x:v>
      </x:c>
      <x:c r="H508" s="11" t="n">
        <x:v>728</x:v>
      </x:c>
      <x:c r="I508" s="11" t="n">
        <x:v>28.45</x:v>
      </x:c>
      <x:c r="J508" s="11" t="n">
        <x:v>20711.6</x:v>
      </x:c>
      <x:c r="K508" s="11" t="n">
        <x:v>16</x:v>
      </x:c>
      <x:c r="L508" s="11" t="str">
        <x:v>Extração parcial do início da descrição; conferir unidade/descrição completa no PDF.</x:v>
      </x:c>
      <x:c r="M508" s="11" t="str">
        <x:v>DOC-0015</x:v>
      </x:c>
      <x:c r="N508" s="11" t="n">
        <x:f>H508*I508</x:f>
        <x:v>20711.6</x:v>
      </x:c>
      <x:c r="O508" s="11" t="n">
        <x:f>ROUND(N508-J508,2)</x:f>
        <x:v>0</x:v>
      </x:c>
    </x:row>
    <x:row r="509" ht="84" customHeight="1">
      <x:c r="A509" s="8" t="str">
        <x:v>ED-0014</x:v>
      </x:c>
      <x:c r="B509" s="8" t="str">
        <x:v>Diamantino</x:v>
      </x:c>
      <x:c r="C509" s="8" t="str">
        <x:v>São José do Rio Claro</x:v>
      </x:c>
      <x:c r="D509" s="8" t="n">
        <x:v>43</x:v>
      </x:c>
      <x:c r="E509" s="8" t="str">
        <x:v>PONCÃ</x:v>
      </x:c>
      <x:c r="F509" s="8" t="str">
        <x:v>PONCÃ, inteiro, livre de sujidades,</x:v>
      </x:c>
      <x:c r="G509" s="8" t="str">
        <x:v>Quilograma</x:v>
      </x:c>
      <x:c r="H509" s="11" t="n">
        <x:v>200</x:v>
      </x:c>
      <x:c r="I509" s="11" t="n">
        <x:v>14.21</x:v>
      </x:c>
      <x:c r="J509" s="11" t="n">
        <x:v>2842</x:v>
      </x:c>
      <x:c r="K509" s="11" t="n">
        <x:v>16</x:v>
      </x:c>
      <x:c r="L509" s="11" t="str">
        <x:v>Extração parcial do início da descrição; conferir unidade/descrição completa no PDF.</x:v>
      </x:c>
      <x:c r="M509" s="11" t="str">
        <x:v>DOC-0015</x:v>
      </x:c>
      <x:c r="N509" s="11" t="n">
        <x:f>H509*I509</x:f>
        <x:v>2842</x:v>
      </x:c>
      <x:c r="O509" s="11" t="n">
        <x:f>ROUND(N509-J509,2)</x:f>
        <x:v>0</x:v>
      </x:c>
    </x:row>
    <x:row r="510" ht="84" customHeight="1">
      <x:c r="A510" s="8" t="str">
        <x:v>ED-0014</x:v>
      </x:c>
      <x:c r="B510" s="8" t="str">
        <x:v>Diamantino</x:v>
      </x:c>
      <x:c r="C510" s="8" t="str">
        <x:v>São José do Rio Claro</x:v>
      </x:c>
      <x:c r="D510" s="8" t="n">
        <x:v>44</x:v>
      </x:c>
      <x:c r="E510" s="8" t="str">
        <x:v>QUEIJO        MUSSARELA</x:v>
      </x:c>
      <x:c r="F510" s="8" t="str">
        <x:v>QUEIJO        MUSSARELA,           obtido</x:v>
      </x:c>
      <x:c r="G510" s="8" t="str">
        <x:v>Quilograma</x:v>
      </x:c>
      <x:c r="H510" s="11" t="n">
        <x:v>389</x:v>
      </x:c>
      <x:c r="I510" s="11" t="n">
        <x:v>61.44</x:v>
      </x:c>
      <x:c r="J510" s="11" t="n">
        <x:v>23900.16</x:v>
      </x:c>
      <x:c r="K510" s="11" t="n">
        <x:v>16</x:v>
      </x:c>
      <x:c r="L510" s="11" t="str">
        <x:v>Extração parcial do início da descrição; conferir unidade/descrição completa no PDF.</x:v>
      </x:c>
      <x:c r="M510" s="11" t="str">
        <x:v>DOC-0015</x:v>
      </x:c>
      <x:c r="N510" s="11" t="n">
        <x:f>H510*I510</x:f>
        <x:v>23900.16</x:v>
      </x:c>
      <x:c r="O510" s="11" t="n">
        <x:f>ROUND(N510-J510,2)</x:f>
        <x:v>0</x:v>
      </x:c>
    </x:row>
    <x:row r="511" ht="84" customHeight="1">
      <x:c r="A511" s="8" t="str">
        <x:v>ED-0014</x:v>
      </x:c>
      <x:c r="B511" s="8" t="str">
        <x:v>Diamantino</x:v>
      </x:c>
      <x:c r="C511" s="8" t="str">
        <x:v>São José do Rio Claro</x:v>
      </x:c>
      <x:c r="D511" s="8" t="n">
        <x:v>45</x:v>
      </x:c>
      <x:c r="E511" s="8" t="str">
        <x:v>REPOLHO               BRANCO/VERDE</x:v>
      </x:c>
      <x:c r="F511" s="8" t="str">
        <x:v>REPOLHO               BRANCO/VERDE,</x:v>
      </x:c>
      <x:c r="G511" s="8" t="str">
        <x:v>Quilograma</x:v>
      </x:c>
      <x:c r="H511" s="11" t="n">
        <x:v>958</x:v>
      </x:c>
      <x:c r="I511" s="11" t="n">
        <x:v>5.33</x:v>
      </x:c>
      <x:c r="J511" s="11" t="n">
        <x:v>5106.14</x:v>
      </x:c>
      <x:c r="K511" s="11" t="n">
        <x:v>17</x:v>
      </x:c>
      <x:c r="L511" s="11" t="str">
        <x:v>Extração parcial do início da descrição; conferir unidade/descrição completa no PDF.</x:v>
      </x:c>
      <x:c r="M511" s="11" t="str">
        <x:v>DOC-0015</x:v>
      </x:c>
      <x:c r="N511" s="11" t="n">
        <x:f>H511*I511</x:f>
        <x:v>5106.14</x:v>
      </x:c>
      <x:c r="O511" s="11" t="n">
        <x:f>ROUND(N511-J511,2)</x:f>
        <x:v>0</x:v>
      </x:c>
    </x:row>
    <x:row r="512" ht="84" customHeight="1">
      <x:c r="A512" s="8" t="str">
        <x:v>ED-0014</x:v>
      </x:c>
      <x:c r="B512" s="8" t="str">
        <x:v>Diamantino</x:v>
      </x:c>
      <x:c r="C512" s="8" t="str">
        <x:v>São José do Rio Claro</x:v>
      </x:c>
      <x:c r="D512" s="8" t="n">
        <x:v>46</x:v>
      </x:c>
      <x:c r="E512" s="8" t="str">
        <x:v>REQUEIJÃO CREMOSO</x:v>
      </x:c>
      <x:c r="F512" s="8" t="str">
        <x:v>REQUEIJÃO CREMOSO, produzido</x:v>
      </x:c>
      <x:c r="G512" s="8" t="str">
        <x:v>Unidade de</x:v>
      </x:c>
      <x:c r="H512" s="11" t="n">
        <x:v>553</x:v>
      </x:c>
      <x:c r="I512" s="11" t="n">
        <x:v>11.3</x:v>
      </x:c>
      <x:c r="J512" s="11" t="n">
        <x:v>6248.9</x:v>
      </x:c>
      <x:c r="K512" s="11" t="n">
        <x:v>17</x:v>
      </x:c>
      <x:c r="L512" s="11" t="str">
        <x:v>Extração parcial do início da descrição; conferir unidade/descrição completa no PDF.</x:v>
      </x:c>
      <x:c r="M512" s="11" t="str">
        <x:v>DOC-0015</x:v>
      </x:c>
      <x:c r="N512" s="11" t="n">
        <x:f>H512*I512</x:f>
        <x:v>6248.900000000001</x:v>
      </x:c>
      <x:c r="O512" s="11" t="n">
        <x:f>ROUND(N512-J512,2)</x:f>
        <x:v>0</x:v>
      </x:c>
    </x:row>
    <x:row r="513" ht="84" customHeight="1">
      <x:c r="A513" s="8" t="str">
        <x:v>ED-0014</x:v>
      </x:c>
      <x:c r="B513" s="8" t="str">
        <x:v>Diamantino</x:v>
      </x:c>
      <x:c r="C513" s="8" t="str">
        <x:v>São José do Rio Claro</x:v>
      </x:c>
      <x:c r="D513" s="8" t="n">
        <x:v>47</x:v>
      </x:c>
      <x:c r="E513" s="8" t="str">
        <x:v>RÚCULA</x:v>
      </x:c>
      <x:c r="F513" s="8" t="str">
        <x:v>RÚCULA, com folhas inteiras, livre de</x:v>
      </x:c>
      <x:c r="G513" s="8" t="str">
        <x:v>Quilograma</x:v>
      </x:c>
      <x:c r="H513" s="11" t="n">
        <x:v>579</x:v>
      </x:c>
      <x:c r="I513" s="11" t="n">
        <x:v>31.66</x:v>
      </x:c>
      <x:c r="J513" s="11" t="n">
        <x:v>18331.14</x:v>
      </x:c>
      <x:c r="K513" s="11" t="n">
        <x:v>18</x:v>
      </x:c>
      <x:c r="L513" s="11" t="str">
        <x:v>Extração parcial do início da descrição; conferir unidade/descrição completa no PDF.</x:v>
      </x:c>
      <x:c r="M513" s="11" t="str">
        <x:v>DOC-0015</x:v>
      </x:c>
      <x:c r="N513" s="11" t="n">
        <x:f>H513*I513</x:f>
        <x:v>18331.14</x:v>
      </x:c>
      <x:c r="O513" s="11" t="n">
        <x:f>ROUND(N513-J513,2)</x:f>
        <x:v>0</x:v>
      </x:c>
    </x:row>
    <x:row r="514" ht="84" customHeight="1">
      <x:c r="A514" s="8" t="str">
        <x:v>ED-0014</x:v>
      </x:c>
      <x:c r="B514" s="8" t="str">
        <x:v>Diamantino</x:v>
      </x:c>
      <x:c r="C514" s="8" t="str">
        <x:v>São José do Rio Claro</x:v>
      </x:c>
      <x:c r="D514" s="8" t="n">
        <x:v>48</x:v>
      </x:c>
      <x:c r="E514" s="8" t="str">
        <x:v>SALSA</x:v>
      </x:c>
      <x:c r="F514" s="8" t="str">
        <x:v>SALSA, com talos e folhas inteiros,</x:v>
      </x:c>
      <x:c r="G514" s="8" t="str">
        <x:v>Quilograma</x:v>
      </x:c>
      <x:c r="H514" s="11" t="n">
        <x:v>316</x:v>
      </x:c>
      <x:c r="I514" s="11" t="n">
        <x:v>41.2</x:v>
      </x:c>
      <x:c r="J514" s="11" t="n">
        <x:v>13019.2</x:v>
      </x:c>
      <x:c r="K514" s="11" t="n">
        <x:v>18</x:v>
      </x:c>
      <x:c r="L514" s="11" t="str">
        <x:v>Extração parcial do início da descrição; conferir unidade/descrição completa no PDF.</x:v>
      </x:c>
      <x:c r="M514" s="11" t="str">
        <x:v>DOC-0015</x:v>
      </x:c>
      <x:c r="N514" s="11" t="n">
        <x:f>H514*I514</x:f>
        <x:v>13019.2</x:v>
      </x:c>
      <x:c r="O514" s="11" t="n">
        <x:f>ROUND(N514-J514,2)</x:f>
        <x:v>0</x:v>
      </x:c>
    </x:row>
    <x:row r="515" ht="84" customHeight="1">
      <x:c r="A515" s="8" t="str">
        <x:v>ED-0014</x:v>
      </x:c>
      <x:c r="B515" s="8" t="str">
        <x:v>Diamantino</x:v>
      </x:c>
      <x:c r="C515" s="8" t="str">
        <x:v>São José do Rio Claro</x:v>
      </x:c>
      <x:c r="D515" s="8" t="n">
        <x:v>49</x:v>
      </x:c>
      <x:c r="E515" s="8" t="str">
        <x:v>TOMATE SALADA</x:v>
      </x:c>
      <x:c r="F515" s="8" t="str">
        <x:v>TOMATE SALADA, inteiros, sem</x:v>
      </x:c>
      <x:c r="G515" s="8" t="str">
        <x:v>Quilograma</x:v>
      </x:c>
      <x:c r="H515" s="11" t="n">
        <x:v>909</x:v>
      </x:c>
      <x:c r="I515" s="11" t="n">
        <x:v>9.67</x:v>
      </x:c>
      <x:c r="J515" s="11" t="n">
        <x:v>8790.03</x:v>
      </x:c>
      <x:c r="K515" s="11" t="n">
        <x:v>18</x:v>
      </x:c>
      <x:c r="L515" s="11" t="str">
        <x:v>Extração parcial do início da descrição; conferir unidade/descrição completa no PDF.</x:v>
      </x:c>
      <x:c r="M515" s="11" t="str">
        <x:v>DOC-0015</x:v>
      </x:c>
      <x:c r="N515" s="11" t="n">
        <x:f>H515*I515</x:f>
        <x:v>8790.03</x:v>
      </x:c>
      <x:c r="O515" s="11" t="n">
        <x:f>ROUND(N515-J515,2)</x:f>
        <x:v>0</x:v>
      </x:c>
    </x:row>
    <x:row r="516" ht="84" customHeight="1">
      <x:c r="A516" s="8" t="str">
        <x:v>ED-0014</x:v>
      </x:c>
      <x:c r="B516" s="8" t="str">
        <x:v>Diamantino</x:v>
      </x:c>
      <x:c r="C516" s="8" t="str">
        <x:v>São José do Rio Claro</x:v>
      </x:c>
      <x:c r="D516" s="8" t="n">
        <x:v>50</x:v>
      </x:c>
      <x:c r="E516" s="8" t="str">
        <x:v>VAGEM</x:v>
      </x:c>
      <x:c r="F516" s="8" t="str">
        <x:v>VAGEM, inteira, livre de sujidades,</x:v>
      </x:c>
      <x:c r="G516" s="8" t="str">
        <x:v>Quilograma</x:v>
      </x:c>
      <x:c r="H516" s="11" t="n">
        <x:v>271</x:v>
      </x:c>
      <x:c r="I516" s="11" t="n">
        <x:v>18.95</x:v>
      </x:c>
      <x:c r="J516" s="11" t="n">
        <x:v>5135.45</x:v>
      </x:c>
      <x:c r="K516" s="11" t="n">
        <x:v>19</x:v>
      </x:c>
      <x:c r="L516" s="11" t="str">
        <x:v>Extração parcial do início da descrição; conferir unidade/descrição completa no PDF.</x:v>
      </x:c>
      <x:c r="M516" s="11" t="str">
        <x:v>DOC-0015</x:v>
      </x:c>
      <x:c r="N516" s="11" t="n">
        <x:f>H516*I516</x:f>
        <x:v>5135.45</x:v>
      </x:c>
      <x:c r="O516" s="11" t="n">
        <x:f>ROUND(N516-J516,2)</x:f>
        <x:v>0</x:v>
      </x:c>
    </x:row>
    <x:row r="517" ht="84" customHeight="1">
      <x:c r="A517" s="8" t="str">
        <x:v>ED-0023</x:v>
      </x:c>
      <x:c r="B517" s="8" t="str">
        <x:v>Juína</x:v>
      </x:c>
      <x:c r="C517" s="8" t="str">
        <x:v>Colniza</x:v>
      </x:c>
      <x:c r="D517" s="8" t="n">
        <x:v>2</x:v>
      </x:c>
      <x:c r="E517" s="8" t="str">
        <x:v>ABACAXI PÉROLA</x:v>
      </x:c>
      <x:c r="F517" s="8" t="str">
        <x:v>ABACAXI PÉROLA, inteiro, livre</x:v>
      </x:c>
      <x:c r="G517" s="8" t="str">
        <x:v>Quilograma</x:v>
      </x:c>
      <x:c r="H517" s="11" t="n">
        <x:v>1167</x:v>
      </x:c>
      <x:c r="I517" s="11" t="n">
        <x:v>11.91</x:v>
      </x:c>
      <x:c r="J517" s="11" t="n">
        <x:v>13898.97</x:v>
      </x:c>
      <x:c r="K517" s="11" t="n">
        <x:v>3</x:v>
      </x:c>
      <x:c r="L517" s="11" t="str">
        <x:v>Extração parcial do início da descrição; conferir unidade/descrição completa no PDF.</x:v>
      </x:c>
      <x:c r="M517" s="11" t="str">
        <x:v>DOC-0025</x:v>
      </x:c>
      <x:c r="N517" s="11" t="n">
        <x:f>H517*I517</x:f>
        <x:v>13898.97</x:v>
      </x:c>
      <x:c r="O517" s="11" t="n">
        <x:f>ROUND(N517-J517,2)</x:f>
        <x:v>0</x:v>
      </x:c>
    </x:row>
    <x:row r="518" ht="84" customHeight="1">
      <x:c r="A518" s="8" t="str">
        <x:v>ED-0023</x:v>
      </x:c>
      <x:c r="B518" s="8" t="str">
        <x:v>Juína</x:v>
      </x:c>
      <x:c r="C518" s="8" t="str">
        <x:v>Colniza</x:v>
      </x:c>
      <x:c r="D518" s="8" t="n">
        <x:v>3</x:v>
      </x:c>
      <x:c r="E518" s="8" t="str">
        <x:v>ABÓBORA CABOTIÃ</x:v>
      </x:c>
      <x:c r="F518" s="8" t="str">
        <x:v>ABÓBORA CABOTIÃ, inteira, livre</x:v>
      </x:c>
      <x:c r="G518" s="8" t="str">
        <x:v>Quilograma</x:v>
      </x:c>
      <x:c r="H518" s="11" t="n">
        <x:v>670</x:v>
      </x:c>
      <x:c r="I518" s="11" t="n">
        <x:v>7.48</x:v>
      </x:c>
      <x:c r="J518" s="11" t="n">
        <x:v>5011.6</x:v>
      </x:c>
      <x:c r="K518" s="11" t="n">
        <x:v>3</x:v>
      </x:c>
      <x:c r="L518" s="11" t="str">
        <x:v>Extração parcial do início da descrição; conferir unidade/descrição completa no PDF.</x:v>
      </x:c>
      <x:c r="M518" s="11" t="str">
        <x:v>DOC-0025</x:v>
      </x:c>
      <x:c r="N518" s="11" t="n">
        <x:f>H518*I518</x:f>
        <x:v>5011.6</x:v>
      </x:c>
      <x:c r="O518" s="11" t="n">
        <x:f>ROUND(N518-J518,2)</x:f>
        <x:v>0</x:v>
      </x:c>
    </x:row>
    <x:row r="519" ht="84" customHeight="1">
      <x:c r="A519" s="8" t="str">
        <x:v>ED-0023</x:v>
      </x:c>
      <x:c r="B519" s="8" t="str">
        <x:v>Juína</x:v>
      </x:c>
      <x:c r="C519" s="8" t="str">
        <x:v>Colniza</x:v>
      </x:c>
      <x:c r="D519" s="8" t="n">
        <x:v>6</x:v>
      </x:c>
      <x:c r="E519" s="8" t="str">
        <x:v>AÇAFRÃO</x:v>
      </x:c>
      <x:c r="F519" s="8" t="str">
        <x:v>AÇAFRÃO, torrado, em pó fino e</x:v>
      </x:c>
      <x:c r="G519" s="8" t="str">
        <x:v>Unidade de</x:v>
      </x:c>
      <x:c r="H519" s="11" t="n">
        <x:v>486</x:v>
      </x:c>
      <x:c r="I519" s="11" t="n">
        <x:v>3.31</x:v>
      </x:c>
      <x:c r="J519" s="11" t="n">
        <x:v>1608.66</x:v>
      </x:c>
      <x:c r="K519" s="11" t="n">
        <x:v>4</x:v>
      </x:c>
      <x:c r="L519" s="11" t="str">
        <x:v>Extração parcial do início da descrição; conferir unidade/descrição completa no PDF.</x:v>
      </x:c>
      <x:c r="M519" s="11" t="str">
        <x:v>DOC-0025</x:v>
      </x:c>
      <x:c r="N519" s="11" t="n">
        <x:f>H519*I519</x:f>
        <x:v>1608.66</x:v>
      </x:c>
      <x:c r="O519" s="11" t="n">
        <x:f>ROUND(N519-J519,2)</x:f>
        <x:v>0</x:v>
      </x:c>
    </x:row>
    <x:row r="520" ht="84" customHeight="1">
      <x:c r="A520" s="8" t="str">
        <x:v>ED-0023</x:v>
      </x:c>
      <x:c r="B520" s="8" t="str">
        <x:v>Juína</x:v>
      </x:c>
      <x:c r="C520" s="8" t="str">
        <x:v>Colniza</x:v>
      </x:c>
      <x:c r="D520" s="8" t="n">
        <x:v>9</x:v>
      </x:c>
      <x:c r="E520" s="8" t="str">
        <x:v>AGRIÃO</x:v>
      </x:c>
      <x:c r="F520" s="8" t="str">
        <x:v>AGRIÃO, com folhas inteiras, livre</x:v>
      </x:c>
      <x:c r="G520" s="8" t="str">
        <x:v>Quilograma</x:v>
      </x:c>
      <x:c r="H520" s="11" t="n">
        <x:v>316</x:v>
      </x:c>
      <x:c r="I520" s="11" t="n">
        <x:v>24.49</x:v>
      </x:c>
      <x:c r="J520" s="11" t="n">
        <x:v>7738.84</x:v>
      </x:c>
      <x:c r="K520" s="11" t="n">
        <x:v>5</x:v>
      </x:c>
      <x:c r="L520" s="11" t="str">
        <x:v>Extração parcial do início da descrição; conferir unidade/descrição completa no PDF.</x:v>
      </x:c>
      <x:c r="M520" s="11" t="str">
        <x:v>DOC-0025</x:v>
      </x:c>
      <x:c r="N520" s="11" t="n">
        <x:f>H520*I520</x:f>
        <x:v>7738.839999999999</x:v>
      </x:c>
      <x:c r="O520" s="11" t="n">
        <x:f>ROUND(N520-J520,2)</x:f>
        <x:v>0</x:v>
      </x:c>
    </x:row>
    <x:row r="521" ht="84" customHeight="1">
      <x:c r="A521" s="8" t="str">
        <x:v>ED-0023</x:v>
      </x:c>
      <x:c r="B521" s="8" t="str">
        <x:v>Juína</x:v>
      </x:c>
      <x:c r="C521" s="8" t="str">
        <x:v>Colniza</x:v>
      </x:c>
      <x:c r="D521" s="8" t="n">
        <x:v>11</x:v>
      </x:c>
      <x:c r="E521" s="8" t="str">
        <x:v>ALFACE CRESPA</x:v>
      </x:c>
      <x:c r="F521" s="8" t="str">
        <x:v>ALFACE CRESPA, com folhas</x:v>
      </x:c>
      <x:c r="G521" s="8" t="str">
        <x:v>Quilograma</x:v>
      </x:c>
      <x:c r="H521" s="11" t="n">
        <x:v>1858</x:v>
      </x:c>
      <x:c r="I521" s="11" t="n">
        <x:v>22.5</x:v>
      </x:c>
      <x:c r="J521" s="11" t="n">
        <x:v>41805</x:v>
      </x:c>
      <x:c r="K521" s="11" t="n">
        <x:v>6</x:v>
      </x:c>
      <x:c r="L521" s="11" t="str">
        <x:v>Extração parcial do início da descrição; conferir unidade/descrição completa no PDF.</x:v>
      </x:c>
      <x:c r="M521" s="11" t="str">
        <x:v>DOC-0025</x:v>
      </x:c>
      <x:c r="N521" s="11" t="n">
        <x:f>H521*I521</x:f>
        <x:v>41805</x:v>
      </x:c>
      <x:c r="O521" s="11" t="n">
        <x:f>ROUND(N521-J521,2)</x:f>
        <x:v>0</x:v>
      </x:c>
    </x:row>
    <x:row r="522" ht="84" customHeight="1">
      <x:c r="A522" s="8" t="str">
        <x:v>ED-0023</x:v>
      </x:c>
      <x:c r="B522" s="8" t="str">
        <x:v>Juína</x:v>
      </x:c>
      <x:c r="C522" s="8" t="str">
        <x:v>Colniza</x:v>
      </x:c>
      <x:c r="D522" s="8" t="n">
        <x:v>13</x:v>
      </x:c>
      <x:c r="E522" s="8" t="str">
        <x:v>ALMEIRÃO</x:v>
      </x:c>
      <x:c r="F522" s="8" t="str">
        <x:v>ALMEIRÃO, com folhas inteiras,</x:v>
      </x:c>
      <x:c r="G522" s="8" t="str">
        <x:v>Quilograma</x:v>
      </x:c>
      <x:c r="H522" s="11" t="n">
        <x:v>428</x:v>
      </x:c>
      <x:c r="I522" s="11" t="n">
        <x:v>20.58</x:v>
      </x:c>
      <x:c r="J522" s="11" t="n">
        <x:v>8808.24</x:v>
      </x:c>
      <x:c r="K522" s="11" t="n">
        <x:v>6</x:v>
      </x:c>
      <x:c r="L522" s="11" t="str">
        <x:v>Extração parcial do início da descrição; conferir unidade/descrição completa no PDF.</x:v>
      </x:c>
      <x:c r="M522" s="11" t="str">
        <x:v>DOC-0025</x:v>
      </x:c>
      <x:c r="N522" s="11" t="n">
        <x:f>H522*I522</x:f>
        <x:v>8808.24</x:v>
      </x:c>
      <x:c r="O522" s="11" t="n">
        <x:f>ROUND(N522-J522,2)</x:f>
        <x:v>0</x:v>
      </x:c>
    </x:row>
    <x:row r="523" ht="84" customHeight="1">
      <x:c r="A523" s="8" t="str">
        <x:v>ED-0023</x:v>
      </x:c>
      <x:c r="B523" s="8" t="str">
        <x:v>Juína</x:v>
      </x:c>
      <x:c r="C523" s="8" t="str">
        <x:v>Colniza</x:v>
      </x:c>
      <x:c r="D523" s="8" t="n">
        <x:v>19</x:v>
      </x:c>
      <x:c r="E523" s="8" t="str">
        <x:v>BANANA DA TERRA</x:v>
      </x:c>
      <x:c r="F523" s="8" t="str">
        <x:v>BANANA DA TERRA, inteira, livre</x:v>
      </x:c>
      <x:c r="G523" s="8" t="str">
        <x:v>Quilograma</x:v>
      </x:c>
      <x:c r="H523" s="11" t="n">
        <x:v>671</x:v>
      </x:c>
      <x:c r="I523" s="11" t="n">
        <x:v>12.33</x:v>
      </x:c>
      <x:c r="J523" s="11" t="n">
        <x:v>8273.43</x:v>
      </x:c>
      <x:c r="K523" s="11" t="n">
        <x:v>8</x:v>
      </x:c>
      <x:c r="L523" s="11" t="str">
        <x:v>Extração parcial do início da descrição; conferir unidade/descrição completa no PDF.</x:v>
      </x:c>
      <x:c r="M523" s="11" t="str">
        <x:v>DOC-0025</x:v>
      </x:c>
      <x:c r="N523" s="11" t="n">
        <x:f>H523*I523</x:f>
        <x:v>8273.43</x:v>
      </x:c>
      <x:c r="O523" s="11" t="n">
        <x:f>ROUND(N523-J523,2)</x:f>
        <x:v>0</x:v>
      </x:c>
    </x:row>
    <x:row r="524" ht="84" customHeight="1">
      <x:c r="A524" s="8" t="str">
        <x:v>ED-0023</x:v>
      </x:c>
      <x:c r="B524" s="8" t="str">
        <x:v>Juína</x:v>
      </x:c>
      <x:c r="C524" s="8" t="str">
        <x:v>Colniza</x:v>
      </x:c>
      <x:c r="D524" s="8" t="n">
        <x:v>21</x:v>
      </x:c>
      <x:c r="E524" s="8" t="str">
        <x:v>BANANA NANICA</x:v>
      </x:c>
      <x:c r="F524" s="8" t="str">
        <x:v>BANANA NANICA, inteira, livre de</x:v>
      </x:c>
      <x:c r="G524" s="8" t="str">
        <x:v>Quilograma</x:v>
      </x:c>
      <x:c r="H524" s="11" t="n">
        <x:v>1770</x:v>
      </x:c>
      <x:c r="I524" s="11" t="n">
        <x:v>9.66</x:v>
      </x:c>
      <x:c r="J524" s="11" t="n">
        <x:v>17098.2</x:v>
      </x:c>
      <x:c r="K524" s="11" t="n">
        <x:v>8</x:v>
      </x:c>
      <x:c r="L524" s="11" t="str">
        <x:v>Extração parcial do início da descrição; conferir unidade/descrição completa no PDF.</x:v>
      </x:c>
      <x:c r="M524" s="11" t="str">
        <x:v>DOC-0025</x:v>
      </x:c>
      <x:c r="N524" s="11" t="n">
        <x:f>H524*I524</x:f>
        <x:v>17098.2</x:v>
      </x:c>
      <x:c r="O524" s="11" t="n">
        <x:f>ROUND(N524-J524,2)</x:f>
        <x:v>0</x:v>
      </x:c>
    </x:row>
    <x:row r="525" ht="84" customHeight="1">
      <x:c r="A525" s="8" t="str">
        <x:v>ED-0023</x:v>
      </x:c>
      <x:c r="B525" s="8" t="str">
        <x:v>Juína</x:v>
      </x:c>
      <x:c r="C525" s="8" t="str">
        <x:v>Colniza</x:v>
      </x:c>
      <x:c r="D525" s="8" t="n">
        <x:v>23</x:v>
      </x:c>
      <x:c r="E525" s="8" t="str">
        <x:v>BATATA DOCE</x:v>
      </x:c>
      <x:c r="F525" s="8" t="str">
        <x:v>BATATA DOCE, inteira, livre de</x:v>
      </x:c>
      <x:c r="G525" s="8" t="str">
        <x:v>Quilograma</x:v>
      </x:c>
      <x:c r="H525" s="11" t="n">
        <x:v>413</x:v>
      </x:c>
      <x:c r="I525" s="11" t="n">
        <x:v>8.04</x:v>
      </x:c>
      <x:c r="J525" s="11" t="n">
        <x:v>3320.52</x:v>
      </x:c>
      <x:c r="K525" s="11" t="n">
        <x:v>9</x:v>
      </x:c>
      <x:c r="L525" s="11" t="str">
        <x:v>Extração parcial do início da descrição; conferir unidade/descrição completa no PDF.</x:v>
      </x:c>
      <x:c r="M525" s="11" t="str">
        <x:v>DOC-0025</x:v>
      </x:c>
      <x:c r="N525" s="11" t="n">
        <x:f>H525*I525</x:f>
        <x:v>3320.5199999999995</x:v>
      </x:c>
      <x:c r="O525" s="11" t="n">
        <x:f>ROUND(N525-J525,2)</x:f>
        <x:v>0</x:v>
      </x:c>
    </x:row>
    <x:row r="526" ht="84" customHeight="1">
      <x:c r="A526" s="8" t="str">
        <x:v>ED-0023</x:v>
      </x:c>
      <x:c r="B526" s="8" t="str">
        <x:v>Juína</x:v>
      </x:c>
      <x:c r="C526" s="8" t="str">
        <x:v>Colniza</x:v>
      </x:c>
      <x:c r="D526" s="8" t="n">
        <x:v>26</x:v>
      </x:c>
      <x:c r="E526" s="8" t="str">
        <x:v>BETERRABA</x:v>
      </x:c>
      <x:c r="F526" s="8" t="str">
        <x:v>BETERRABA, inteira, livre de</x:v>
      </x:c>
      <x:c r="G526" s="8" t="str">
        <x:v>Quilograma</x:v>
      </x:c>
      <x:c r="H526" s="11" t="n">
        <x:v>316</x:v>
      </x:c>
      <x:c r="I526" s="11" t="n">
        <x:v>5.61</x:v>
      </x:c>
      <x:c r="J526" s="11" t="n">
        <x:v>1772.76</x:v>
      </x:c>
      <x:c r="K526" s="11" t="n">
        <x:v>10</x:v>
      </x:c>
      <x:c r="L526" s="11" t="str">
        <x:v>Extração parcial do início da descrição; conferir unidade/descrição completa no PDF.</x:v>
      </x:c>
      <x:c r="M526" s="11" t="str">
        <x:v>DOC-0025</x:v>
      </x:c>
      <x:c r="N526" s="11" t="n">
        <x:f>H526*I526</x:f>
        <x:v>1772.76</x:v>
      </x:c>
      <x:c r="O526" s="11" t="n">
        <x:f>ROUND(N526-J526,2)</x:f>
        <x:v>0</x:v>
      </x:c>
    </x:row>
    <x:row r="527" ht="84" customHeight="1">
      <x:c r="A527" s="8" t="str">
        <x:v>ED-0023</x:v>
      </x:c>
      <x:c r="B527" s="8" t="str">
        <x:v>Juína</x:v>
      </x:c>
      <x:c r="C527" s="8" t="str">
        <x:v>Colniza</x:v>
      </x:c>
      <x:c r="D527" s="8" t="n">
        <x:v>31</x:v>
      </x:c>
      <x:c r="E527" s="8" t="str">
        <x:v>BOLO DE CHOCOLATE</x:v>
      </x:c>
      <x:c r="F527" s="8" t="str">
        <x:v>BOLO DE CHOCOLATE, caseiro,</x:v>
      </x:c>
      <x:c r="G527" s="8" t="str">
        <x:v>Quilograma</x:v>
      </x:c>
      <x:c r="H527" s="11" t="n">
        <x:v>1331</x:v>
      </x:c>
      <x:c r="I527" s="11" t="n">
        <x:v>26.83</x:v>
      </x:c>
      <x:c r="J527" s="11" t="n">
        <x:v>35710.73</x:v>
      </x:c>
      <x:c r="K527" s="11" t="n">
        <x:v>11</x:v>
      </x:c>
      <x:c r="L527" s="11" t="str">
        <x:v>Extração parcial do início da descrição; conferir unidade/descrição completa no PDF.</x:v>
      </x:c>
      <x:c r="M527" s="11" t="str">
        <x:v>DOC-0025</x:v>
      </x:c>
      <x:c r="N527" s="11" t="n">
        <x:f>H527*I527</x:f>
        <x:v>35710.729999999996</x:v>
      </x:c>
      <x:c r="O527" s="11" t="n">
        <x:f>ROUND(N527-J527,2)</x:f>
        <x:v>0</x:v>
      </x:c>
    </x:row>
    <x:row r="528" ht="84" customHeight="1">
      <x:c r="A528" s="8" t="str">
        <x:v>ED-0023</x:v>
      </x:c>
      <x:c r="B528" s="8" t="str">
        <x:v>Juína</x:v>
      </x:c>
      <x:c r="C528" s="8" t="str">
        <x:v>Colniza</x:v>
      </x:c>
      <x:c r="D528" s="8" t="n">
        <x:v>34</x:v>
      </x:c>
      <x:c r="E528" s="8" t="str">
        <x:v>BOLO DE LARANJA</x:v>
      </x:c>
      <x:c r="F528" s="8" t="str">
        <x:v>BOLO DE LARANJA, caseiro,</x:v>
      </x:c>
      <x:c r="G528" s="8" t="str">
        <x:v>Quilograma</x:v>
      </x:c>
      <x:c r="H528" s="11" t="n">
        <x:v>1331</x:v>
      </x:c>
      <x:c r="I528" s="11" t="n">
        <x:v>26.83</x:v>
      </x:c>
      <x:c r="J528" s="11" t="n">
        <x:v>35710.73</x:v>
      </x:c>
      <x:c r="K528" s="11" t="n">
        <x:v>12</x:v>
      </x:c>
      <x:c r="L528" s="11" t="str">
        <x:v>Extração parcial do início da descrição; conferir unidade/descrição completa no PDF.</x:v>
      </x:c>
      <x:c r="M528" s="11" t="str">
        <x:v>DOC-0025</x:v>
      </x:c>
      <x:c r="N528" s="11" t="n">
        <x:f>H528*I528</x:f>
        <x:v>35710.729999999996</x:v>
      </x:c>
      <x:c r="O528" s="11" t="n">
        <x:f>ROUND(N528-J528,2)</x:f>
        <x:v>0</x:v>
      </x:c>
    </x:row>
    <x:row r="529" ht="84" customHeight="1">
      <x:c r="A529" s="8" t="str">
        <x:v>ED-0023</x:v>
      </x:c>
      <x:c r="B529" s="8" t="str">
        <x:v>Juína</x:v>
      </x:c>
      <x:c r="C529" s="8" t="str">
        <x:v>Colniza</x:v>
      </x:c>
      <x:c r="D529" s="8" t="n">
        <x:v>42</x:v>
      </x:c>
      <x:c r="E529" s="8" t="str">
        <x:v>CEBOLINHA</x:v>
      </x:c>
      <x:c r="F529" s="8" t="str">
        <x:v>CEBOLINHA, verde, com folhas</x:v>
      </x:c>
      <x:c r="G529" s="8" t="str">
        <x:v>Quilograma</x:v>
      </x:c>
      <x:c r="H529" s="11" t="n">
        <x:v>519</x:v>
      </x:c>
      <x:c r="I529" s="11" t="n">
        <x:v>25.12</x:v>
      </x:c>
      <x:c r="J529" s="11" t="n">
        <x:v>13037.28</x:v>
      </x:c>
      <x:c r="K529" s="11" t="n">
        <x:v>14</x:v>
      </x:c>
      <x:c r="L529" s="11" t="str">
        <x:v>Extração parcial do início da descrição; conferir unidade/descrição completa no PDF.</x:v>
      </x:c>
      <x:c r="M529" s="11" t="str">
        <x:v>DOC-0025</x:v>
      </x:c>
      <x:c r="N529" s="11" t="n">
        <x:f>H529*I529</x:f>
        <x:v>13037.28</x:v>
      </x:c>
      <x:c r="O529" s="11" t="n">
        <x:f>ROUND(N529-J529,2)</x:f>
        <x:v>0</x:v>
      </x:c>
    </x:row>
    <x:row r="530" ht="84" customHeight="1">
      <x:c r="A530" s="8" t="str">
        <x:v>ED-0023</x:v>
      </x:c>
      <x:c r="B530" s="8" t="str">
        <x:v>Juína</x:v>
      </x:c>
      <x:c r="C530" s="8" t="str">
        <x:v>Colniza</x:v>
      </x:c>
      <x:c r="D530" s="8" t="n">
        <x:v>43</x:v>
      </x:c>
      <x:c r="E530" s="8" t="str">
        <x:v>CENOURA</x:v>
      </x:c>
      <x:c r="F530" s="8" t="str">
        <x:v>CENOURA,         inteira,  livre de</x:v>
      </x:c>
      <x:c r="G530" s="8" t="str">
        <x:v>Quilograma</x:v>
      </x:c>
      <x:c r="H530" s="11" t="n">
        <x:v>1609</x:v>
      </x:c>
      <x:c r="I530" s="11" t="n">
        <x:v>7.19</x:v>
      </x:c>
      <x:c r="J530" s="11" t="n">
        <x:v>11568.71</x:v>
      </x:c>
      <x:c r="K530" s="11" t="n">
        <x:v>15</x:v>
      </x:c>
      <x:c r="L530" s="11" t="str">
        <x:v>Extração parcial do início da descrição; conferir unidade/descrição completa no PDF.</x:v>
      </x:c>
      <x:c r="M530" s="11" t="str">
        <x:v>DOC-0025</x:v>
      </x:c>
      <x:c r="N530" s="11" t="n">
        <x:f>H530*I530</x:f>
        <x:v>11568.710000000001</x:v>
      </x:c>
      <x:c r="O530" s="11" t="n">
        <x:f>ROUND(N530-J530,2)</x:f>
        <x:v>0</x:v>
      </x:c>
    </x:row>
    <x:row r="531" ht="84" customHeight="1">
      <x:c r="A531" s="8" t="str">
        <x:v>ED-0023</x:v>
      </x:c>
      <x:c r="B531" s="8" t="str">
        <x:v>Juína</x:v>
      </x:c>
      <x:c r="C531" s="8" t="str">
        <x:v>Colniza</x:v>
      </x:c>
      <x:c r="D531" s="8" t="n">
        <x:v>46</x:v>
      </x:c>
      <x:c r="E531" s="8" t="str">
        <x:v>COENTRO</x:v>
      </x:c>
      <x:c r="F531" s="8" t="str">
        <x:v>COENTRO, com talos e folhas</x:v>
      </x:c>
      <x:c r="G531" s="8" t="str">
        <x:v>Quilograma</x:v>
      </x:c>
      <x:c r="H531" s="11" t="n">
        <x:v>51</x:v>
      </x:c>
      <x:c r="I531" s="11" t="n">
        <x:v>26.08</x:v>
      </x:c>
      <x:c r="J531" s="11" t="n">
        <x:v>1330.08</x:v>
      </x:c>
      <x:c r="K531" s="11" t="n">
        <x:v>15</x:v>
      </x:c>
      <x:c r="L531" s="11" t="str">
        <x:v>Extração parcial do início da descrição; conferir unidade/descrição completa no PDF.</x:v>
      </x:c>
      <x:c r="M531" s="11" t="str">
        <x:v>DOC-0025</x:v>
      </x:c>
      <x:c r="N531" s="11" t="n">
        <x:f>H531*I531</x:f>
        <x:v>1330.08</x:v>
      </x:c>
      <x:c r="O531" s="11" t="n">
        <x:f>ROUND(N531-J531,2)</x:f>
        <x:v>0</x:v>
      </x:c>
    </x:row>
    <x:row r="532" ht="84" customHeight="1">
      <x:c r="A532" s="8" t="str">
        <x:v>ED-0023</x:v>
      </x:c>
      <x:c r="B532" s="8" t="str">
        <x:v>Juína</x:v>
      </x:c>
      <x:c r="C532" s="8" t="str">
        <x:v>Colniza</x:v>
      </x:c>
      <x:c r="D532" s="8" t="n">
        <x:v>47</x:v>
      </x:c>
      <x:c r="E532" s="8" t="str">
        <x:v>COLORAU</x:v>
      </x:c>
      <x:c r="F532" s="8" t="str">
        <x:v>COLORAU, corante, natural de</x:v>
      </x:c>
      <x:c r="G532" s="8" t="str">
        <x:v>Unidade de</x:v>
      </x:c>
      <x:c r="H532" s="11" t="n">
        <x:v>4015</x:v>
      </x:c>
      <x:c r="I532" s="11" t="n">
        <x:v>3.25</x:v>
      </x:c>
      <x:c r="J532" s="11" t="n">
        <x:v>13048.75</x:v>
      </x:c>
      <x:c r="K532" s="11" t="n">
        <x:v>16</x:v>
      </x:c>
      <x:c r="L532" s="11" t="str">
        <x:v>Extração parcial do início da descrição; conferir unidade/descrição completa no PDF.</x:v>
      </x:c>
      <x:c r="M532" s="11" t="str">
        <x:v>DOC-0025</x:v>
      </x:c>
      <x:c r="N532" s="11" t="n">
        <x:f>H532*I532</x:f>
        <x:v>13048.75</x:v>
      </x:c>
      <x:c r="O532" s="11" t="n">
        <x:f>ROUND(N532-J532,2)</x:f>
        <x:v>0</x:v>
      </x:c>
    </x:row>
    <x:row r="533" ht="84" customHeight="1">
      <x:c r="A533" s="8" t="str">
        <x:v>ED-0023</x:v>
      </x:c>
      <x:c r="B533" s="8" t="str">
        <x:v>Juína</x:v>
      </x:c>
      <x:c r="C533" s="8" t="str">
        <x:v>Colniza</x:v>
      </x:c>
      <x:c r="D533" s="8" t="n">
        <x:v>48</x:v>
      </x:c>
      <x:c r="E533" s="8" t="str">
        <x:v>COUVE</x:v>
      </x:c>
      <x:c r="F533" s="8" t="str">
        <x:v>COUVE, manteiga com folhas</x:v>
      </x:c>
      <x:c r="G533" s="8" t="str">
        <x:v>Quilograma</x:v>
      </x:c>
      <x:c r="H533" s="11" t="n">
        <x:v>1807</x:v>
      </x:c>
      <x:c r="I533" s="11" t="n">
        <x:v>22.98</x:v>
      </x:c>
      <x:c r="J533" s="11" t="n">
        <x:v>41524.86</x:v>
      </x:c>
      <x:c r="K533" s="11" t="n">
        <x:v>16</x:v>
      </x:c>
      <x:c r="L533" s="11" t="str">
        <x:v>Extração parcial do início da descrição; conferir unidade/descrição completa no PDF.</x:v>
      </x:c>
      <x:c r="M533" s="11" t="str">
        <x:v>DOC-0025</x:v>
      </x:c>
      <x:c r="N533" s="11" t="n">
        <x:f>H533*I533</x:f>
        <x:v>41524.86</x:v>
      </x:c>
      <x:c r="O533" s="11" t="n">
        <x:f>ROUND(N533-J533,2)</x:f>
        <x:v>0</x:v>
      </x:c>
    </x:row>
    <x:row r="534" ht="84" customHeight="1">
      <x:c r="A534" s="8" t="str">
        <x:v>ED-0023</x:v>
      </x:c>
      <x:c r="B534" s="8" t="str">
        <x:v>Juína</x:v>
      </x:c>
      <x:c r="C534" s="8" t="str">
        <x:v>Colniza</x:v>
      </x:c>
      <x:c r="D534" s="8" t="n">
        <x:v>52</x:v>
      </x:c>
      <x:c r="E534" s="8" t="str">
        <x:v>FARINHA DE MANDIOCA</x:v>
      </x:c>
      <x:c r="F534" s="8" t="str">
        <x:v>FARINHA DE MANDIOCA, do</x:v>
      </x:c>
      <x:c r="G534" s="8" t="str">
        <x:v>Unidade de</x:v>
      </x:c>
      <x:c r="H534" s="11" t="n">
        <x:v>806</x:v>
      </x:c>
      <x:c r="I534" s="11" t="n">
        <x:v>13.22</x:v>
      </x:c>
      <x:c r="J534" s="11" t="n">
        <x:v>10655.32</x:v>
      </x:c>
      <x:c r="K534" s="11" t="n">
        <x:v>18</x:v>
      </x:c>
      <x:c r="L534" s="11" t="str">
        <x:v>Extração parcial do início da descrição; conferir unidade/descrição completa no PDF.</x:v>
      </x:c>
      <x:c r="M534" s="11" t="str">
        <x:v>DOC-0025</x:v>
      </x:c>
      <x:c r="N534" s="11" t="n">
        <x:f>H534*I534</x:f>
        <x:v>10655.32</x:v>
      </x:c>
      <x:c r="O534" s="11" t="n">
        <x:f>ROUND(N534-J534,2)</x:f>
        <x:v>0</x:v>
      </x:c>
    </x:row>
    <x:row r="535" ht="84" customHeight="1">
      <x:c r="A535" s="8" t="str">
        <x:v>ED-0023</x:v>
      </x:c>
      <x:c r="B535" s="8" t="str">
        <x:v>Juína</x:v>
      </x:c>
      <x:c r="C535" s="8" t="str">
        <x:v>Colniza</x:v>
      </x:c>
      <x:c r="D535" s="8" t="n">
        <x:v>62</x:v>
      </x:c>
      <x:c r="E535" s="8" t="str">
        <x:v>INHAME</x:v>
      </x:c>
      <x:c r="F535" s="8" t="str">
        <x:v>INHAME, in natura, tamanho e</x:v>
      </x:c>
      <x:c r="G535" s="8" t="str">
        <x:v>Quilograma</x:v>
      </x:c>
      <x:c r="H535" s="11" t="n">
        <x:v>355</x:v>
      </x:c>
      <x:c r="I535" s="11" t="n">
        <x:v>16.99</x:v>
      </x:c>
      <x:c r="J535" s="11" t="n">
        <x:v>6031.45</x:v>
      </x:c>
      <x:c r="K535" s="11" t="n">
        <x:v>20</x:v>
      </x:c>
      <x:c r="L535" s="11" t="str">
        <x:v>Extração parcial do início da descrição; conferir unidade/descrição completa no PDF.</x:v>
      </x:c>
      <x:c r="M535" s="11" t="str">
        <x:v>DOC-0025</x:v>
      </x:c>
      <x:c r="N535" s="11" t="n">
        <x:f>H535*I535</x:f>
        <x:v>6031.45</x:v>
      </x:c>
      <x:c r="O535" s="11" t="n">
        <x:f>ROUND(N535-J535,2)</x:f>
        <x:v>0</x:v>
      </x:c>
    </x:row>
    <x:row r="536" ht="84" customHeight="1">
      <x:c r="A536" s="8" t="str">
        <x:v>ED-0023</x:v>
      </x:c>
      <x:c r="B536" s="8" t="str">
        <x:v>Juína</x:v>
      </x:c>
      <x:c r="C536" s="8" t="str">
        <x:v>Colniza</x:v>
      </x:c>
      <x:c r="D536" s="8" t="n">
        <x:v>65</x:v>
      </x:c>
      <x:c r="E536" s="8" t="str">
        <x:v>LARANJA PÊRA</x:v>
      </x:c>
      <x:c r="F536" s="8" t="str">
        <x:v>LARANJA PÊRA, inteira, livre de</x:v>
      </x:c>
      <x:c r="G536" s="8" t="str">
        <x:v>Quilograma</x:v>
      </x:c>
      <x:c r="H536" s="11" t="n">
        <x:v>2485</x:v>
      </x:c>
      <x:c r="I536" s="11" t="n">
        <x:v>10.88</x:v>
      </x:c>
      <x:c r="J536" s="11" t="n">
        <x:v>27036.8</x:v>
      </x:c>
      <x:c r="K536" s="11" t="n">
        <x:v>21</x:v>
      </x:c>
      <x:c r="L536" s="11" t="str">
        <x:v>Extração parcial do início da descrição; conferir unidade/descrição completa no PDF.</x:v>
      </x:c>
      <x:c r="M536" s="11" t="str">
        <x:v>DOC-0025</x:v>
      </x:c>
      <x:c r="N536" s="11" t="n">
        <x:f>H536*I536</x:f>
        <x:v>27036.800000000003</x:v>
      </x:c>
      <x:c r="O536" s="11" t="n">
        <x:f>ROUND(N536-J536,2)</x:f>
        <x:v>0</x:v>
      </x:c>
    </x:row>
    <x:row r="537" ht="84" customHeight="1">
      <x:c r="A537" s="8" t="str">
        <x:v>ED-0023</x:v>
      </x:c>
      <x:c r="B537" s="8" t="str">
        <x:v>Juína</x:v>
      </x:c>
      <x:c r="C537" s="8" t="str">
        <x:v>Colniza</x:v>
      </x:c>
      <x:c r="D537" s="8" t="n">
        <x:v>67</x:v>
      </x:c>
      <x:c r="E537" s="8" t="str">
        <x:v>LEITE         UHT        INTEGRAL</x:v>
      </x:c>
      <x:c r="F537" s="8" t="str">
        <x:v>LEITE         UHT        INTEGRAL,</x:v>
      </x:c>
      <x:c r="G537" s="8" t="str">
        <x:v>Unidade de</x:v>
      </x:c>
      <x:c r="H537" s="11" t="n">
        <x:v>11816</x:v>
      </x:c>
      <x:c r="I537" s="11" t="n">
        <x:v>7.56</x:v>
      </x:c>
      <x:c r="J537" s="11" t="n">
        <x:v>89328.96</x:v>
      </x:c>
      <x:c r="K537" s="11" t="n">
        <x:v>22</x:v>
      </x:c>
      <x:c r="L537" s="11" t="str">
        <x:v>Extração parcial do início da descrição; conferir unidade/descrição completa no PDF.</x:v>
      </x:c>
      <x:c r="M537" s="11" t="str">
        <x:v>DOC-0025</x:v>
      </x:c>
      <x:c r="N537" s="11" t="n">
        <x:f>H537*I537</x:f>
        <x:v>89328.95999999999</x:v>
      </x:c>
      <x:c r="O537" s="11" t="n">
        <x:f>ROUND(N537-J537,2)</x:f>
        <x:v>0</x:v>
      </x:c>
    </x:row>
    <x:row r="538" ht="84" customHeight="1">
      <x:c r="A538" s="8" t="str">
        <x:v>ED-0023</x:v>
      </x:c>
      <x:c r="B538" s="8" t="str">
        <x:v>Juína</x:v>
      </x:c>
      <x:c r="C538" s="8" t="str">
        <x:v>Colniza</x:v>
      </x:c>
      <x:c r="D538" s="8" t="n">
        <x:v>69</x:v>
      </x:c>
      <x:c r="E538" s="8" t="str">
        <x:v>LIMÃO TAHITI</x:v>
      </x:c>
      <x:c r="F538" s="8" t="str">
        <x:v>LIMÃO TAHITI, inteiro, livre de</x:v>
      </x:c>
      <x:c r="G538" s="8" t="str">
        <x:v>Quilograma</x:v>
      </x:c>
      <x:c r="H538" s="11" t="n">
        <x:v>415</x:v>
      </x:c>
      <x:c r="I538" s="11" t="n">
        <x:v>11.59</x:v>
      </x:c>
      <x:c r="J538" s="11" t="n">
        <x:v>4809.85</x:v>
      </x:c>
      <x:c r="K538" s="11" t="n">
        <x:v>22</x:v>
      </x:c>
      <x:c r="L538" s="11" t="str">
        <x:v>Extração parcial do início da descrição; conferir unidade/descrição completa no PDF.</x:v>
      </x:c>
      <x:c r="M538" s="11" t="str">
        <x:v>DOC-0025</x:v>
      </x:c>
      <x:c r="N538" s="11" t="n">
        <x:f>H538*I538</x:f>
        <x:v>4809.85</x:v>
      </x:c>
      <x:c r="O538" s="11" t="n">
        <x:f>ROUND(N538-J538,2)</x:f>
        <x:v>0</x:v>
      </x:c>
    </x:row>
    <x:row r="539" ht="84" customHeight="1">
      <x:c r="A539" s="8" t="str">
        <x:v>ED-0023</x:v>
      </x:c>
      <x:c r="B539" s="8" t="str">
        <x:v>Juína</x:v>
      </x:c>
      <x:c r="C539" s="8" t="str">
        <x:v>Colniza</x:v>
      </x:c>
      <x:c r="D539" s="8" t="n">
        <x:v>71</x:v>
      </x:c>
      <x:c r="E539" s="8" t="str">
        <x:v>MAMÃO FORMOSA</x:v>
      </x:c>
      <x:c r="F539" s="8" t="str">
        <x:v>MAMÃO FORMOSA, livre de</x:v>
      </x:c>
      <x:c r="G539" s="8" t="str">
        <x:v>Quilograma</x:v>
      </x:c>
      <x:c r="H539" s="11" t="n">
        <x:v>1103</x:v>
      </x:c>
      <x:c r="I539" s="11" t="n">
        <x:v>13.72</x:v>
      </x:c>
      <x:c r="J539" s="11" t="n">
        <x:v>15133.16</x:v>
      </x:c>
      <x:c r="K539" s="11" t="n">
        <x:v>23</x:v>
      </x:c>
      <x:c r="L539" s="11" t="str">
        <x:v>Extração parcial do início da descrição; conferir unidade/descrição completa no PDF.</x:v>
      </x:c>
      <x:c r="M539" s="11" t="str">
        <x:v>DOC-0025</x:v>
      </x:c>
      <x:c r="N539" s="11" t="n">
        <x:f>H539*I539</x:f>
        <x:v>15133.16</x:v>
      </x:c>
      <x:c r="O539" s="11" t="n">
        <x:f>ROUND(N539-J539,2)</x:f>
        <x:v>0</x:v>
      </x:c>
    </x:row>
    <x:row r="540" ht="84" customHeight="1">
      <x:c r="A540" s="8" t="str">
        <x:v>ED-0023</x:v>
      </x:c>
      <x:c r="B540" s="8" t="str">
        <x:v>Juína</x:v>
      </x:c>
      <x:c r="C540" s="8" t="str">
        <x:v>Colniza</x:v>
      </x:c>
      <x:c r="D540" s="8" t="n">
        <x:v>73</x:v>
      </x:c>
      <x:c r="E540" s="8" t="str">
        <x:v>MANDIOCA              DESCASCADA</x:v>
      </x:c>
      <x:c r="F540" s="8" t="str">
        <x:v>MANDIOCA              DESCASCADA</x:v>
      </x:c>
      <x:c r="G540" s="8" t="str">
        <x:v>Unidade de</x:v>
      </x:c>
      <x:c r="H540" s="11" t="n">
        <x:v>1039</x:v>
      </x:c>
      <x:c r="I540" s="11" t="n">
        <x:v>7.68</x:v>
      </x:c>
      <x:c r="J540" s="11" t="n">
        <x:v>7979.52</x:v>
      </x:c>
      <x:c r="K540" s="11" t="n">
        <x:v>24</x:v>
      </x:c>
      <x:c r="L540" s="11" t="str">
        <x:v>Extração parcial do início da descrição; conferir unidade/descrição completa no PDF.</x:v>
      </x:c>
      <x:c r="M540" s="11" t="str">
        <x:v>DOC-0025</x:v>
      </x:c>
      <x:c r="N540" s="11" t="n">
        <x:f>H540*I540</x:f>
        <x:v>7979.5199999999995</x:v>
      </x:c>
      <x:c r="O540" s="11" t="n">
        <x:f>ROUND(N540-J540,2)</x:f>
        <x:v>0</x:v>
      </x:c>
    </x:row>
    <x:row r="541" ht="84" customHeight="1">
      <x:c r="A541" s="8" t="str">
        <x:v>ED-0023</x:v>
      </x:c>
      <x:c r="B541" s="8" t="str">
        <x:v>Juína</x:v>
      </x:c>
      <x:c r="C541" s="8" t="str">
        <x:v>Colniza</x:v>
      </x:c>
      <x:c r="D541" s="8" t="n">
        <x:v>78</x:v>
      </x:c>
      <x:c r="E541" s="8" t="str">
        <x:v>MANTEIGA PURA COM SAL</x:v>
      </x:c>
      <x:c r="F541" s="8" t="str">
        <x:v>MANTEIGA PURA COM SAL,</x:v>
      </x:c>
      <x:c r="G541" s="8" t="str">
        <x:v>Unidade de</x:v>
      </x:c>
      <x:c r="H541" s="11" t="n">
        <x:v>1343</x:v>
      </x:c>
      <x:c r="I541" s="11" t="n">
        <x:v>37.57</x:v>
      </x:c>
      <x:c r="J541" s="11" t="n">
        <x:v>50456.51</x:v>
      </x:c>
      <x:c r="K541" s="11" t="n">
        <x:v>25</x:v>
      </x:c>
      <x:c r="L541" s="11" t="str">
        <x:v>Extração parcial do início da descrição; conferir unidade/descrição completa no PDF.</x:v>
      </x:c>
      <x:c r="M541" s="11" t="str">
        <x:v>DOC-0025</x:v>
      </x:c>
      <x:c r="N541" s="11" t="n">
        <x:f>H541*I541</x:f>
        <x:v>50456.51</x:v>
      </x:c>
      <x:c r="O541" s="11" t="n">
        <x:f>ROUND(N541-J541,2)</x:f>
        <x:v>0</x:v>
      </x:c>
    </x:row>
    <x:row r="542" ht="84" customHeight="1">
      <x:c r="A542" s="8" t="str">
        <x:v>ED-0023</x:v>
      </x:c>
      <x:c r="B542" s="8" t="str">
        <x:v>Juína</x:v>
      </x:c>
      <x:c r="C542" s="8" t="str">
        <x:v>Colniza</x:v>
      </x:c>
      <x:c r="D542" s="8" t="n">
        <x:v>83</x:v>
      </x:c>
      <x:c r="E542" s="8" t="str">
        <x:v>MELANCIA</x:v>
      </x:c>
      <x:c r="F542" s="8" t="str">
        <x:v>MELANCIA, inteira, livre de</x:v>
      </x:c>
      <x:c r="G542" s="8" t="str">
        <x:v>Quilograma</x:v>
      </x:c>
      <x:c r="H542" s="11" t="n">
        <x:v>1457</x:v>
      </x:c>
      <x:c r="I542" s="11" t="n">
        <x:v>3.38</x:v>
      </x:c>
      <x:c r="J542" s="11" t="n">
        <x:v>4924.66</x:v>
      </x:c>
      <x:c r="K542" s="11" t="n">
        <x:v>27</x:v>
      </x:c>
      <x:c r="L542" s="11" t="str">
        <x:v>Extração parcial do início da descrição; conferir unidade/descrição completa no PDF.</x:v>
      </x:c>
      <x:c r="M542" s="11" t="str">
        <x:v>DOC-0025</x:v>
      </x:c>
      <x:c r="N542" s="11" t="n">
        <x:f>H542*I542</x:f>
        <x:v>4924.66</x:v>
      </x:c>
      <x:c r="O542" s="11" t="n">
        <x:f>ROUND(N542-J542,2)</x:f>
        <x:v>0</x:v>
      </x:c>
    </x:row>
    <x:row r="543" ht="84" customHeight="1">
      <x:c r="A543" s="8" t="str">
        <x:v>ED-0023</x:v>
      </x:c>
      <x:c r="B543" s="8" t="str">
        <x:v>Juína</x:v>
      </x:c>
      <x:c r="C543" s="8" t="str">
        <x:v>Colniza</x:v>
      </x:c>
      <x:c r="D543" s="8" t="n">
        <x:v>94</x:v>
      </x:c>
      <x:c r="E543" s="8" t="str">
        <x:v>PÃO CASEIRO</x:v>
      </x:c>
      <x:c r="F543" s="8" t="str">
        <x:v>PÃO CASEIRO, de boa qualidade,</x:v>
      </x:c>
      <x:c r="G543" s="8" t="str">
        <x:v>Quilograma</x:v>
      </x:c>
      <x:c r="H543" s="11" t="n">
        <x:v>1882</x:v>
      </x:c>
      <x:c r="I543" s="11" t="n">
        <x:v>20.29</x:v>
      </x:c>
      <x:c r="J543" s="11" t="n">
        <x:v>38185.78</x:v>
      </x:c>
      <x:c r="K543" s="11" t="n">
        <x:v>30</x:v>
      </x:c>
      <x:c r="L543" s="11" t="str">
        <x:v>Extração parcial do início da descrição; conferir unidade/descrição completa no PDF.</x:v>
      </x:c>
      <x:c r="M543" s="11" t="str">
        <x:v>DOC-0025</x:v>
      </x:c>
      <x:c r="N543" s="11" t="n">
        <x:f>H543*I543</x:f>
        <x:v>38185.78</x:v>
      </x:c>
      <x:c r="O543" s="11" t="n">
        <x:f>ROUND(N543-J543,2)</x:f>
        <x:v>0</x:v>
      </x:c>
    </x:row>
    <x:row r="544" ht="84" customHeight="1">
      <x:c r="A544" s="8" t="str">
        <x:v>ED-0023</x:v>
      </x:c>
      <x:c r="B544" s="8" t="str">
        <x:v>Juína</x:v>
      </x:c>
      <x:c r="C544" s="8" t="str">
        <x:v>Colniza</x:v>
      </x:c>
      <x:c r="D544" s="8" t="n">
        <x:v>103</x:v>
      </x:c>
      <x:c r="E544" s="8" t="str">
        <x:v>PEIXE TAMBAQUI FILÉ</x:v>
      </x:c>
      <x:c r="F544" s="8" t="str">
        <x:v>PEIXE TAMBAQUI FILÉ, peixe de</x:v>
      </x:c>
      <x:c r="G544" s="8" t="str">
        <x:v>Unidade de</x:v>
      </x:c>
      <x:c r="H544" s="11" t="n">
        <x:v>602.5</x:v>
      </x:c>
      <x:c r="I544" s="11" t="n">
        <x:v>51.71</x:v>
      </x:c>
      <x:c r="J544" s="11" t="n">
        <x:v>31155.27</x:v>
      </x:c>
      <x:c r="K544" s="11" t="n">
        <x:v>32</x:v>
      </x:c>
      <x:c r="L544" s="11" t="str">
        <x:v>Extração parcial do início da descrição; conferir unidade/descrição completa no PDF.</x:v>
      </x:c>
      <x:c r="M544" s="11" t="str">
        <x:v>DOC-0025</x:v>
      </x:c>
      <x:c r="N544" s="11" t="n">
        <x:f>H544*I544</x:f>
        <x:v>31155.275</x:v>
      </x:c>
      <x:c r="O544" s="11" t="n">
        <x:f>ROUND(N544-J544,2)</x:f>
        <x:v>0.01</x:v>
      </x:c>
    </x:row>
    <x:row r="545" ht="84" customHeight="1">
      <x:c r="A545" s="8" t="str">
        <x:v>ED-0023</x:v>
      </x:c>
      <x:c r="B545" s="8" t="str">
        <x:v>Juína</x:v>
      </x:c>
      <x:c r="C545" s="8" t="str">
        <x:v>Colniza</x:v>
      </x:c>
      <x:c r="D545" s="8" t="n">
        <x:v>106</x:v>
      </x:c>
      <x:c r="E545" s="8" t="str">
        <x:v>PEIXE TILÁPIA FILÉ</x:v>
      </x:c>
      <x:c r="F545" s="8" t="str">
        <x:v>PEIXE TILÁPIA FILÉ, peixe de</x:v>
      </x:c>
      <x:c r="G545" s="8" t="str">
        <x:v>Unidade de</x:v>
      </x:c>
      <x:c r="H545" s="11" t="n">
        <x:v>602.5</x:v>
      </x:c>
      <x:c r="I545" s="11" t="n">
        <x:v>51.96</x:v>
      </x:c>
      <x:c r="J545" s="11" t="n">
        <x:v>31305.9</x:v>
      </x:c>
      <x:c r="K545" s="11" t="n">
        <x:v>33</x:v>
      </x:c>
      <x:c r="L545" s="11" t="str">
        <x:v>Extração parcial do início da descrição; conferir unidade/descrição completa no PDF.</x:v>
      </x:c>
      <x:c r="M545" s="11" t="str">
        <x:v>DOC-0025</x:v>
      </x:c>
      <x:c r="N545" s="11" t="n">
        <x:f>H545*I545</x:f>
        <x:v>31305.9</x:v>
      </x:c>
      <x:c r="O545" s="11" t="n">
        <x:f>ROUND(N545-J545,2)</x:f>
        <x:v>0</x:v>
      </x:c>
    </x:row>
    <x:row r="546" ht="84" customHeight="1">
      <x:c r="A546" s="8" t="str">
        <x:v>ED-0023</x:v>
      </x:c>
      <x:c r="B546" s="8" t="str">
        <x:v>Juína</x:v>
      </x:c>
      <x:c r="C546" s="8" t="str">
        <x:v>Colniza</x:v>
      </x:c>
      <x:c r="D546" s="8" t="n">
        <x:v>107</x:v>
      </x:c>
      <x:c r="E546" s="8" t="str">
        <x:v>PEPINO</x:v>
      </x:c>
      <x:c r="F546" s="8" t="str">
        <x:v>PEPINO, inteiro, livre de sujidades,</x:v>
      </x:c>
      <x:c r="G546" s="8" t="str">
        <x:v>Quilograma</x:v>
      </x:c>
      <x:c r="H546" s="11" t="n">
        <x:v>314</x:v>
      </x:c>
      <x:c r="I546" s="11" t="n">
        <x:v>8</x:v>
      </x:c>
      <x:c r="J546" s="11" t="n">
        <x:v>2512</x:v>
      </x:c>
      <x:c r="K546" s="11" t="n">
        <x:v>34</x:v>
      </x:c>
      <x:c r="L546" s="11" t="str">
        <x:v>Extração parcial do início da descrição; conferir unidade/descrição completa no PDF.</x:v>
      </x:c>
      <x:c r="M546" s="11" t="str">
        <x:v>DOC-0025</x:v>
      </x:c>
      <x:c r="N546" s="11" t="n">
        <x:f>H546*I546</x:f>
        <x:v>2512</x:v>
      </x:c>
      <x:c r="O546" s="11" t="n">
        <x:f>ROUND(N546-J546,2)</x:f>
        <x:v>0</x:v>
      </x:c>
    </x:row>
    <x:row r="547" ht="84" customHeight="1">
      <x:c r="A547" s="8" t="str">
        <x:v>ED-0023</x:v>
      </x:c>
      <x:c r="B547" s="8" t="str">
        <x:v>Juína</x:v>
      </x:c>
      <x:c r="C547" s="8" t="str">
        <x:v>Colniza</x:v>
      </x:c>
      <x:c r="D547" s="8" t="n">
        <x:v>109</x:v>
      </x:c>
      <x:c r="E547" s="8" t="str">
        <x:v>PIMENTA DE CHEIRO</x:v>
      </x:c>
      <x:c r="F547" s="8" t="str">
        <x:v>PIMENTA DE CHEIRO, inteira,</x:v>
      </x:c>
      <x:c r="G547" s="8" t="str">
        <x:v>Quilograma</x:v>
      </x:c>
      <x:c r="H547" s="11" t="n">
        <x:v>130</x:v>
      </x:c>
      <x:c r="I547" s="11" t="n">
        <x:v>21.78</x:v>
      </x:c>
      <x:c r="J547" s="11" t="n">
        <x:v>2831.4</x:v>
      </x:c>
      <x:c r="K547" s="11" t="n">
        <x:v>34</x:v>
      </x:c>
      <x:c r="L547" s="11" t="str">
        <x:v>Extração parcial do início da descrição; conferir unidade/descrição completa no PDF.</x:v>
      </x:c>
      <x:c r="M547" s="11" t="str">
        <x:v>DOC-0025</x:v>
      </x:c>
      <x:c r="N547" s="11" t="n">
        <x:f>H547*I547</x:f>
        <x:v>2831.4</x:v>
      </x:c>
      <x:c r="O547" s="11" t="n">
        <x:f>ROUND(N547-J547,2)</x:f>
        <x:v>0</x:v>
      </x:c>
    </x:row>
    <x:row r="548" ht="84" customHeight="1">
      <x:c r="A548" s="8" t="str">
        <x:v>ED-0023</x:v>
      </x:c>
      <x:c r="B548" s="8" t="str">
        <x:v>Juína</x:v>
      </x:c>
      <x:c r="C548" s="8" t="str">
        <x:v>Colniza</x:v>
      </x:c>
      <x:c r="D548" s="8" t="n">
        <x:v>111</x:v>
      </x:c>
      <x:c r="E548" s="8" t="str">
        <x:v>PIMENTÃO VERDE</x:v>
      </x:c>
      <x:c r="F548" s="8" t="str">
        <x:v>PIMENTÃO VERDE, inteiro, livre</x:v>
      </x:c>
      <x:c r="G548" s="8" t="str">
        <x:v>Quilograma</x:v>
      </x:c>
      <x:c r="H548" s="11" t="n">
        <x:v>107</x:v>
      </x:c>
      <x:c r="I548" s="11" t="n">
        <x:v>13.19</x:v>
      </x:c>
      <x:c r="J548" s="11" t="n">
        <x:v>1411.33</x:v>
      </x:c>
      <x:c r="K548" s="11" t="n">
        <x:v>35</x:v>
      </x:c>
      <x:c r="L548" s="11" t="str">
        <x:v>Extração parcial do início da descrição; conferir unidade/descrição completa no PDF.</x:v>
      </x:c>
      <x:c r="M548" s="11" t="str">
        <x:v>DOC-0025</x:v>
      </x:c>
      <x:c r="N548" s="11" t="n">
        <x:f>H548*I548</x:f>
        <x:v>1411.33</x:v>
      </x:c>
      <x:c r="O548" s="11" t="n">
        <x:f>ROUND(N548-J548,2)</x:f>
        <x:v>0</x:v>
      </x:c>
    </x:row>
    <x:row r="549" ht="84" customHeight="1">
      <x:c r="A549" s="8" t="str">
        <x:v>ED-0023</x:v>
      </x:c>
      <x:c r="B549" s="8" t="str">
        <x:v>Juína</x:v>
      </x:c>
      <x:c r="C549" s="8" t="str">
        <x:v>Colniza</x:v>
      </x:c>
      <x:c r="D549" s="8" t="n">
        <x:v>115</x:v>
      </x:c>
      <x:c r="E549" s="8" t="str">
        <x:v>POLPA DE CUPUAÇU</x:v>
      </x:c>
      <x:c r="F549" s="8" t="str">
        <x:v>POLPA DE CUPUAÇU, SEM</x:v>
      </x:c>
      <x:c r="G549" s="8" t="str">
        <x:v>Unidade de</x:v>
      </x:c>
      <x:c r="H549" s="11" t="n">
        <x:v>798</x:v>
      </x:c>
      <x:c r="I549" s="11" t="n">
        <x:v>36.29</x:v>
      </x:c>
      <x:c r="J549" s="11" t="n">
        <x:v>28959.42</x:v>
      </x:c>
      <x:c r="K549" s="11" t="n">
        <x:v>36</x:v>
      </x:c>
      <x:c r="L549" s="11" t="str">
        <x:v>Extração parcial do início da descrição; conferir unidade/descrição completa no PDF.</x:v>
      </x:c>
      <x:c r="M549" s="11" t="str">
        <x:v>DOC-0025</x:v>
      </x:c>
      <x:c r="N549" s="11" t="n">
        <x:f>H549*I549</x:f>
        <x:v>28959.42</x:v>
      </x:c>
      <x:c r="O549" s="11" t="n">
        <x:f>ROUND(N549-J549,2)</x:f>
        <x:v>0</x:v>
      </x:c>
    </x:row>
    <x:row r="550" ht="84" customHeight="1">
      <x:c r="A550" s="8" t="str">
        <x:v>ED-0023</x:v>
      </x:c>
      <x:c r="B550" s="8" t="str">
        <x:v>Juína</x:v>
      </x:c>
      <x:c r="C550" s="8" t="str">
        <x:v>Colniza</x:v>
      </x:c>
      <x:c r="D550" s="8" t="n">
        <x:v>117</x:v>
      </x:c>
      <x:c r="E550" s="8" t="str">
        <x:v>POLPA DE MARACUJÁ</x:v>
      </x:c>
      <x:c r="F550" s="8" t="str">
        <x:v>POLPA DE MARACUJÁ, SEM</x:v>
      </x:c>
      <x:c r="G550" s="8" t="str">
        <x:v>Unidade de</x:v>
      </x:c>
      <x:c r="H550" s="11" t="n">
        <x:v>798</x:v>
      </x:c>
      <x:c r="I550" s="11" t="n">
        <x:v>47.35</x:v>
      </x:c>
      <x:c r="J550" s="11" t="n">
        <x:v>37785.3</x:v>
      </x:c>
      <x:c r="K550" s="11" t="n">
        <x:v>37</x:v>
      </x:c>
      <x:c r="L550" s="11" t="str">
        <x:v>Extração parcial do início da descrição; conferir unidade/descrição completa no PDF.</x:v>
      </x:c>
      <x:c r="M550" s="11" t="str">
        <x:v>DOC-0025</x:v>
      </x:c>
      <x:c r="N550" s="11" t="n">
        <x:f>H550*I550</x:f>
        <x:v>37785.3</x:v>
      </x:c>
      <x:c r="O550" s="11" t="n">
        <x:f>ROUND(N550-J550,2)</x:f>
        <x:v>0</x:v>
      </x:c>
    </x:row>
    <x:row r="551" ht="84" customHeight="1">
      <x:c r="A551" s="8" t="str">
        <x:v>ED-0023</x:v>
      </x:c>
      <x:c r="B551" s="8" t="str">
        <x:v>Juína</x:v>
      </x:c>
      <x:c r="C551" s="8" t="str">
        <x:v>Colniza</x:v>
      </x:c>
      <x:c r="D551" s="8" t="n">
        <x:v>120</x:v>
      </x:c>
      <x:c r="E551" s="8" t="str">
        <x:v>QUEIJO MUSSARELA</x:v>
      </x:c>
      <x:c r="F551" s="8" t="str">
        <x:v>QUEIJO MUSSARELA, obtido</x:v>
      </x:c>
      <x:c r="G551" s="8" t="str">
        <x:v>Quilograma</x:v>
      </x:c>
      <x:c r="H551" s="11" t="n">
        <x:v>480</x:v>
      </x:c>
      <x:c r="I551" s="11" t="n">
        <x:v>64.41</x:v>
      </x:c>
      <x:c r="J551" s="11" t="n">
        <x:v>30916.8</x:v>
      </x:c>
      <x:c r="K551" s="11" t="n">
        <x:v>38</x:v>
      </x:c>
      <x:c r="L551" s="11" t="str">
        <x:v>Extração parcial do início da descrição; conferir unidade/descrição completa no PDF.</x:v>
      </x:c>
      <x:c r="M551" s="11" t="str">
        <x:v>DOC-0025</x:v>
      </x:c>
      <x:c r="N551" s="11" t="n">
        <x:f>H551*I551</x:f>
        <x:v>30916.8</x:v>
      </x:c>
      <x:c r="O551" s="11" t="n">
        <x:f>ROUND(N551-J551,2)</x:f>
        <x:v>0</x:v>
      </x:c>
    </x:row>
    <x:row r="552" ht="84" customHeight="1">
      <x:c r="A552" s="8" t="str">
        <x:v>ED-0023</x:v>
      </x:c>
      <x:c r="B552" s="8" t="str">
        <x:v>Juína</x:v>
      </x:c>
      <x:c r="C552" s="8" t="str">
        <x:v>Colniza</x:v>
      </x:c>
      <x:c r="D552" s="8" t="n">
        <x:v>121</x:v>
      </x:c>
      <x:c r="E552" s="8" t="str">
        <x:v>REPOLHO          BRANCO/VERDE</x:v>
      </x:c>
      <x:c r="F552" s="8" t="str">
        <x:v>REPOLHO          BRANCO/VERDE,</x:v>
      </x:c>
      <x:c r="G552" s="8" t="str">
        <x:v>Quilograma</x:v>
      </x:c>
      <x:c r="H552" s="11" t="n">
        <x:v>1543</x:v>
      </x:c>
      <x:c r="I552" s="11" t="n">
        <x:v>5.03</x:v>
      </x:c>
      <x:c r="J552" s="11" t="n">
        <x:v>7761.29</x:v>
      </x:c>
      <x:c r="K552" s="11" t="n">
        <x:v>39</x:v>
      </x:c>
      <x:c r="L552" s="11" t="str">
        <x:v>Extração parcial do início da descrição; conferir unidade/descrição completa no PDF.</x:v>
      </x:c>
      <x:c r="M552" s="11" t="str">
        <x:v>DOC-0025</x:v>
      </x:c>
      <x:c r="N552" s="11" t="n">
        <x:f>H552*I552</x:f>
        <x:v>7761.29</x:v>
      </x:c>
      <x:c r="O552" s="11" t="n">
        <x:f>ROUND(N552-J552,2)</x:f>
        <x:v>0</x:v>
      </x:c>
    </x:row>
    <x:row r="553" ht="84" customHeight="1">
      <x:c r="A553" s="8" t="str">
        <x:v>ED-0023</x:v>
      </x:c>
      <x:c r="B553" s="8" t="str">
        <x:v>Juína</x:v>
      </x:c>
      <x:c r="C553" s="8" t="str">
        <x:v>Colniza</x:v>
      </x:c>
      <x:c r="D553" s="8" t="n">
        <x:v>122</x:v>
      </x:c>
      <x:c r="E553" s="8" t="str">
        <x:v>REQUEIJÃO                  CREMOSO</x:v>
      </x:c>
      <x:c r="F553" s="8" t="str">
        <x:v>REQUEIJÃO                  CREMOSO,</x:v>
      </x:c>
      <x:c r="G553" s="8" t="str">
        <x:v>Unidade de</x:v>
      </x:c>
      <x:c r="H553" s="11" t="n">
        <x:v>488</x:v>
      </x:c>
      <x:c r="I553" s="11" t="n">
        <x:v>12.61</x:v>
      </x:c>
      <x:c r="J553" s="11" t="n">
        <x:v>6153.68</x:v>
      </x:c>
      <x:c r="K553" s="11" t="n">
        <x:v>39</x:v>
      </x:c>
      <x:c r="L553" s="11" t="str">
        <x:v>Extração parcial do início da descrição; conferir unidade/descrição completa no PDF.</x:v>
      </x:c>
      <x:c r="M553" s="11" t="str">
        <x:v>DOC-0025</x:v>
      </x:c>
      <x:c r="N553" s="11" t="n">
        <x:f>H553*I553</x:f>
        <x:v>6153.679999999999</x:v>
      </x:c>
      <x:c r="O553" s="11" t="n">
        <x:f>ROUND(N553-J553,2)</x:f>
        <x:v>0</x:v>
      </x:c>
    </x:row>
    <x:row r="554" ht="84" customHeight="1">
      <x:c r="A554" s="8" t="str">
        <x:v>ED-0023</x:v>
      </x:c>
      <x:c r="B554" s="8" t="str">
        <x:v>Juína</x:v>
      </x:c>
      <x:c r="C554" s="8" t="str">
        <x:v>Colniza</x:v>
      </x:c>
      <x:c r="D554" s="8" t="n">
        <x:v>123</x:v>
      </x:c>
      <x:c r="E554" s="8" t="str">
        <x:v>RÚCULA</x:v>
      </x:c>
      <x:c r="F554" s="8" t="str">
        <x:v>RÚCULA, com folhas inteiras, livre</x:v>
      </x:c>
      <x:c r="G554" s="8" t="str">
        <x:v>Quilograma</x:v>
      </x:c>
      <x:c r="H554" s="11" t="n">
        <x:v>905</x:v>
      </x:c>
      <x:c r="I554" s="11" t="n">
        <x:v>21.42</x:v>
      </x:c>
      <x:c r="J554" s="11" t="n">
        <x:v>19385.1</x:v>
      </x:c>
      <x:c r="K554" s="11" t="n">
        <x:v>39</x:v>
      </x:c>
      <x:c r="L554" s="11" t="str">
        <x:v>Extração parcial do início da descrição; conferir unidade/descrição completa no PDF.</x:v>
      </x:c>
      <x:c r="M554" s="11" t="str">
        <x:v>DOC-0025</x:v>
      </x:c>
      <x:c r="N554" s="11" t="n">
        <x:f>H554*I554</x:f>
        <x:v>19385.100000000002</x:v>
      </x:c>
      <x:c r="O554" s="11" t="n">
        <x:f>ROUND(N554-J554,2)</x:f>
        <x:v>0</x:v>
      </x:c>
    </x:row>
    <x:row r="555" ht="84" customHeight="1">
      <x:c r="A555" s="8" t="str">
        <x:v>ED-0023</x:v>
      </x:c>
      <x:c r="B555" s="8" t="str">
        <x:v>Juína</x:v>
      </x:c>
      <x:c r="C555" s="8" t="str">
        <x:v>Colniza</x:v>
      </x:c>
      <x:c r="D555" s="8" t="n">
        <x:v>125</x:v>
      </x:c>
      <x:c r="E555" s="8" t="str">
        <x:v>SALSA</x:v>
      </x:c>
      <x:c r="F555" s="8" t="str">
        <x:v>SALSA, com talos e folhas inteiros,</x:v>
      </x:c>
      <x:c r="G555" s="8" t="str">
        <x:v>Quilograma</x:v>
      </x:c>
      <x:c r="H555" s="11" t="n">
        <x:v>449</x:v>
      </x:c>
      <x:c r="I555" s="11" t="n">
        <x:v>29.33</x:v>
      </x:c>
      <x:c r="J555" s="11" t="n">
        <x:v>13169.17</x:v>
      </x:c>
      <x:c r="K555" s="11" t="n">
        <x:v>40</x:v>
      </x:c>
      <x:c r="L555" s="11" t="str">
        <x:v>Extração parcial do início da descrição; conferir unidade/descrição completa no PDF.</x:v>
      </x:c>
      <x:c r="M555" s="11" t="str">
        <x:v>DOC-0025</x:v>
      </x:c>
      <x:c r="N555" s="11" t="n">
        <x:f>H555*I555</x:f>
        <x:v>13169.17</x:v>
      </x:c>
      <x:c r="O555" s="11" t="n">
        <x:f>ROUND(N555-J555,2)</x:f>
        <x:v>0</x:v>
      </x:c>
    </x:row>
    <x:row r="556" ht="84" customHeight="1">
      <x:c r="A556" s="8" t="str">
        <x:v>ED-0023</x:v>
      </x:c>
      <x:c r="B556" s="8" t="str">
        <x:v>Juína</x:v>
      </x:c>
      <x:c r="C556" s="8" t="str">
        <x:v>Colniza</x:v>
      </x:c>
      <x:c r="D556" s="8" t="n">
        <x:v>128</x:v>
      </x:c>
      <x:c r="E556" s="8" t="str">
        <x:v>TOMATE SALADA</x:v>
      </x:c>
      <x:c r="F556" s="8" t="str">
        <x:v>TOMATE SALADA, inteiros, sem</x:v>
      </x:c>
      <x:c r="G556" s="8" t="str">
        <x:v>Quilograma</x:v>
      </x:c>
      <x:c r="H556" s="11" t="n">
        <x:v>1222</x:v>
      </x:c>
      <x:c r="I556" s="11" t="n">
        <x:v>7.43</x:v>
      </x:c>
      <x:c r="J556" s="11" t="n">
        <x:v>9079.46</x:v>
      </x:c>
      <x:c r="K556" s="11" t="n">
        <x:v>41</x:v>
      </x:c>
      <x:c r="L556" s="11" t="str">
        <x:v>Extração parcial do início da descrição; conferir unidade/descrição completa no PDF.</x:v>
      </x:c>
      <x:c r="M556" s="11" t="str">
        <x:v>DOC-0025</x:v>
      </x:c>
      <x:c r="N556" s="11" t="n">
        <x:f>H556*I556</x:f>
        <x:v>9079.46</x:v>
      </x:c>
      <x:c r="O556" s="11" t="n">
        <x:f>ROUND(N556-J556,2)</x:f>
        <x:v>0</x:v>
      </x:c>
    </x:row>
    <x:row r="557" ht="84" customHeight="1">
      <x:c r="A557" s="8" t="str">
        <x:v>ED-0023</x:v>
      </x:c>
      <x:c r="B557" s="8" t="str">
        <x:v>Juína</x:v>
      </x:c>
      <x:c r="C557" s="8" t="str">
        <x:v>Colniza</x:v>
      </x:c>
      <x:c r="D557" s="8" t="n">
        <x:v>129</x:v>
      </x:c>
      <x:c r="E557" s="8" t="str">
        <x:v>VAGEM</x:v>
      </x:c>
      <x:c r="F557" s="8" t="str">
        <x:v>VAGEM, inteira, livre de sujidades,</x:v>
      </x:c>
      <x:c r="G557" s="8" t="str">
        <x:v>Quilograma</x:v>
      </x:c>
      <x:c r="H557" s="11" t="n">
        <x:v>351</x:v>
      </x:c>
      <x:c r="I557" s="11" t="n">
        <x:v>17.18</x:v>
      </x:c>
      <x:c r="J557" s="11" t="n">
        <x:v>6030.18</x:v>
      </x:c>
      <x:c r="K557" s="11" t="n">
        <x:v>41</x:v>
      </x:c>
      <x:c r="L557" s="11" t="str">
        <x:v>Extração parcial do início da descrição; conferir unidade/descrição completa no PDF.</x:v>
      </x:c>
      <x:c r="M557" s="11" t="str">
        <x:v>DOC-0025</x:v>
      </x:c>
      <x:c r="N557" s="11" t="n">
        <x:f>H557*I557</x:f>
        <x:v>6030.18</x:v>
      </x:c>
      <x:c r="O557" s="11" t="n">
        <x:f>ROUND(N557-J557,2)</x:f>
        <x:v>0</x:v>
      </x:c>
    </x:row>
  </x:sheetData>
  <x:mergeCells>
    <x:mergeCell ref="A1:F1"/>
    <x:mergeCell ref="A2:F2"/>
  </x:mergeCells>
  <x:conditionalFormatting sqref="O5:O557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40cd8114874388"/>
  </x:tableParts>
</x:worksheet>
</file>

<file path=xl/worksheets/sheet6.xml><?xml version="1.0" encoding="utf-8"?>
<x:worksheet xmlns:x="http://schemas.openxmlformats.org/spreadsheetml/2006/main">
  <x:sheetPr>
    <x:tabColor rgb="FF176B6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48" hidden="0" customWidth="1"/>
    <x:col min="5" max="5" width="48" hidden="0" customWidth="1"/>
    <x:col min="6" max="6" width="24" hidden="0" customWidth="1"/>
    <x:col min="7" max="7" width="48" hidden="0" customWidth="1"/>
  </x:cols>
  <x:sheetData>
    <x:row r="1" ht="34" customHeight="1">
      <x:c r="A1" s="2" t="str">
        <x:v>Pendências para concluir a pesquisa</x:v>
      </x:c>
      <x:c r="B1" s="2"/>
      <x:c r="C1" s="2"/>
      <x:c r="D1" s="2"/>
      <x:c r="E1" s="2"/>
      <x:c r="F1" s="2"/>
    </x:row>
    <x:row r="2" ht="44" customHeight="1">
      <x:c r="A2" s="5" t="str">
        <x:v>Não importar registros com arquivo ausente, exercício conflitante ou vínculo institucional não resolvido.</x:v>
      </x:c>
      <x:c r="B2" s="5"/>
      <x:c r="C2" s="5"/>
      <x:c r="D2" s="5"/>
      <x:c r="E2" s="5"/>
      <x:c r="F2" s="5"/>
    </x:row>
    <x:row r="4" ht="48" customHeight="1">
      <x:c r="A4" s="10" t="str">
        <x:v>DRE</x:v>
      </x:c>
      <x:c r="B4" s="10" t="str">
        <x:v>Edital</x:v>
      </x:c>
      <x:c r="C4" s="10" t="str">
        <x:v>Problema encontrado</x:v>
      </x:c>
      <x:c r="D4" s="10" t="str">
        <x:v>Tipo de problema</x:v>
      </x:c>
      <x:c r="E4" s="10" t="str">
        <x:v>URL relacionada</x:v>
      </x:c>
      <x:c r="F4" s="10" t="str">
        <x:v>Tentativas realizadas</x:v>
      </x:c>
      <x:c r="G4" s="10" t="str">
        <x:v>Próxima ação recomendada</x:v>
      </x:c>
    </x:row>
    <x:row r="5" ht="84" customHeight="1">
      <x:c r="A5" s="8" t="str">
        <x:v>Primavera do Leste</x:v>
      </x:c>
      <x:c r="B5" s="8" t="str">
        <x:v>ED-0035</x:v>
      </x:c>
      <x:c r="C5" s="8" t="str">
        <x:v>Publicação de novembro/dezembro de 2025 preparada para 2026; alguns textos reutilizam ano 2025. Bloquear importação até revisão documental.</x:v>
      </x:c>
      <x:c r="D5" s="8" t="str">
        <x:v>FORA_ESCOPO_2026</x:v>
      </x:c>
      <x:c r="E5" s="8" t="str">
        <x:v>https://drive.google.com/file/d/1_KMjEXJP4BdZk3uMexh4DOKOKY8WQF4X/view?usp=sharing</x:v>
      </x:c>
      <x:c r="F5" s="8" t="str">
        <x:v>Portal, busca por domínio, abertura do link, download e validação de conteúdo</x:v>
      </x:c>
      <x:c r="G5" s="8" t="str">
        <x:v>Obter edital completo e confirmar exercício/unidade antes de importar.</x:v>
      </x:c>
    </x:row>
    <x:row r="6" ht="84" customHeight="1">
      <x:c r="A6" s="8" t="str">
        <x:v>Primavera do Leste</x:v>
      </x:c>
      <x:c r="B6" s="8" t="str">
        <x:v>ED-0036</x:v>
      </x:c>
      <x:c r="C6" s="8" t="str">
        <x:v>Publicação de novembro/dezembro de 2025 preparada para 2026; alguns textos reutilizam ano 2025. Bloquear importação até revisão documental.</x:v>
      </x:c>
      <x:c r="D6" s="8" t="str">
        <x:v>FORA_ESCOPO_2026</x:v>
      </x:c>
      <x:c r="E6" s="8" t="str">
        <x:v>https://drive.google.com/file/d/1hKjjjUAavvzqwoLRUv5XFkyE7VZ0tmp4/view?usp=drive_link</x:v>
      </x:c>
      <x:c r="F6" s="8" t="str">
        <x:v>Portal, busca por domínio, abertura do link, download e validação de conteúdo</x:v>
      </x:c>
      <x:c r="G6" s="8" t="str">
        <x:v>Obter edital completo e confirmar exercício/unidade antes de importar.</x:v>
      </x:c>
    </x:row>
    <x:row r="7" ht="84" customHeight="1">
      <x:c r="A7" s="8" t="str">
        <x:v>Primavera do Leste</x:v>
      </x:c>
      <x:c r="B7" s="8" t="str">
        <x:v>ED-0037</x:v>
      </x:c>
      <x:c r="C7" s="8" t="str">
        <x:v>Publicação de novembro/dezembro de 2025 preparada para 2026; alguns textos reutilizam ano 2025. Bloquear importação até revisão documental.</x:v>
      </x:c>
      <x:c r="D7" s="8" t="str">
        <x:v>CONFLITO_EXERCICIO</x:v>
      </x:c>
      <x:c r="E7" s="8" t="str">
        <x:v>https://drive.google.com/file/d/11WTxQ7cYjRQ36rin-umxWwmZPZRcj-QU/view?usp=sharing</x:v>
      </x:c>
      <x:c r="F7" s="8" t="str">
        <x:v>Portal, busca por domínio, abertura do link, download e validação de conteúdo</x:v>
      </x:c>
      <x:c r="G7" s="8" t="str">
        <x:v>Obter edital completo e confirmar exercício/unidade antes de importar.</x:v>
      </x:c>
    </x:row>
    <x:row r="8" ht="84" customHeight="1">
      <x:c r="A8" s="8" t="str">
        <x:v>Primavera do Leste</x:v>
      </x:c>
      <x:c r="B8" s="8" t="str">
        <x:v>ED-0038</x:v>
      </x:c>
      <x:c r="C8" s="8" t="str">
        <x:v>Publicação de novembro/dezembro de 2025 preparada para 2026; alguns textos reutilizam ano 2025. Bloquear importação até revisão documental.</x:v>
      </x:c>
      <x:c r="D8" s="8" t="str">
        <x:v>CONFLITO_EXERCICIO</x:v>
      </x:c>
      <x:c r="E8" s="8" t="str">
        <x:v>https://drive.google.com/file/d/1oshlg6_JFjkOBsfOCm9iThMWUKROxpXS/view?usp=drive_link</x:v>
      </x:c>
      <x:c r="F8" s="8" t="str">
        <x:v>Portal, busca por domínio, abertura do link, download e validação de conteúdo</x:v>
      </x:c>
      <x:c r="G8" s="8" t="str">
        <x:v>Obter edital completo e confirmar exercício/unidade antes de importar.</x:v>
      </x:c>
    </x:row>
    <x:row r="9" ht="84" customHeight="1">
      <x:c r="A9" s="8" t="str">
        <x:v>Primavera do Leste</x:v>
      </x:c>
      <x:c r="B9" s="8" t="str">
        <x:v>ED-0039</x:v>
      </x:c>
      <x:c r="C9" s="8" t="str">
        <x:v>Publicação de novembro/dezembro de 2025 preparada para 2026; alguns textos reutilizam ano 2025. Bloquear importação até revisão documental.</x:v>
      </x:c>
      <x:c r="D9" s="8" t="str">
        <x:v>FORA_ESCOPO_2026</x:v>
      </x:c>
      <x:c r="E9" s="8" t="str">
        <x:v>https://drive.google.com/file/d/1dJSfMI4DTtzf0iEWyeJgPXuJjGThhhQn/view?usp=drive_link</x:v>
      </x:c>
      <x:c r="F9" s="8" t="str">
        <x:v>Portal, busca por domínio, abertura do link, download e validação de conteúdo</x:v>
      </x:c>
      <x:c r="G9" s="8" t="str">
        <x:v>Obter edital completo e confirmar exercício/unidade antes de importar.</x:v>
      </x:c>
    </x:row>
    <x:row r="10" ht="84" customHeight="1">
      <x:c r="A10" s="8" t="str">
        <x:v>Primavera do Leste</x:v>
      </x:c>
      <x:c r="B10" s="8" t="str">
        <x:v>ED-0040</x:v>
      </x:c>
      <x:c r="C10" s="8" t="str">
        <x:v>Publicação de novembro/dezembro de 2025 preparada para 2026; alguns textos reutilizam ano 2025. Bloquear importação até revisão documental.</x:v>
      </x:c>
      <x:c r="D10" s="8" t="str">
        <x:v>FORA_ESCOPO_2026</x:v>
      </x:c>
      <x:c r="E10" s="8" t="str">
        <x:v>https://drive.google.com/file/d/1Apt0mpLmRSon4T6wJTwCpQLheRbVx5Bv/view?usp=drive_link</x:v>
      </x:c>
      <x:c r="F10" s="8" t="str">
        <x:v>Portal, busca por domínio, abertura do link, download e validação de conteúdo</x:v>
      </x:c>
      <x:c r="G10" s="8" t="str">
        <x:v>Obter edital completo e confirmar exercício/unidade antes de importar.</x:v>
      </x:c>
    </x:row>
    <x:row r="11" ht="84" customHeight="1">
      <x:c r="A11" s="8" t="str">
        <x:v>Primavera do Leste</x:v>
      </x:c>
      <x:c r="B11" s="8" t="str">
        <x:v>ED-0041</x:v>
      </x:c>
      <x:c r="C11" s="8" t="str">
        <x:v>Publicação de novembro/dezembro de 2025 preparada para 2026; alguns textos reutilizam ano 2025. Bloquear importação até revisão documental.</x:v>
      </x:c>
      <x:c r="D11" s="8" t="str">
        <x:v>FORA_ESCOPO_2026</x:v>
      </x:c>
      <x:c r="E11" s="8" t="str">
        <x:v>https://drive.google.com/file/d/155Ya79RS0h0Phrfr8W2FUMLSk25SUBUZ/view?usp=drive_link</x:v>
      </x:c>
      <x:c r="F11" s="8" t="str">
        <x:v>Portal, busca por domínio, abertura do link, download e validação de conteúdo</x:v>
      </x:c>
      <x:c r="G11" s="8" t="str">
        <x:v>Obter edital completo e confirmar exercício/unidade antes de importar.</x:v>
      </x:c>
    </x:row>
    <x:row r="12" ht="84" customHeight="1">
      <x:c r="A12" s="8" t="str">
        <x:v>Primavera do Leste</x:v>
      </x:c>
      <x:c r="B12" s="8" t="str">
        <x:v>ED-0042</x:v>
      </x:c>
      <x:c r="C12" s="8" t="str">
        <x:v>Publicação de novembro/dezembro de 2025 preparada para 2026; alguns textos reutilizam ano 2025. Bloquear importação até revisão documental.</x:v>
      </x:c>
      <x:c r="D12" s="8" t="str">
        <x:v>FORA_ESCOPO_2026</x:v>
      </x:c>
      <x:c r="E12" s="8" t="str">
        <x:v>https://drive.google.com/file/d/1FeVRDtsX6IrvS2jZ8OjU87z4A2pwQyRA/view?usp=drive_link</x:v>
      </x:c>
      <x:c r="F12" s="8" t="str">
        <x:v>Portal, busca por domínio, abertura do link, download e validação de conteúdo</x:v>
      </x:c>
      <x:c r="G12" s="8" t="str">
        <x:v>Obter edital completo e confirmar exercício/unidade antes de importar.</x:v>
      </x:c>
    </x:row>
    <x:row r="13" ht="84" customHeight="1">
      <x:c r="A13" s="8" t="str">
        <x:v>Primavera do Leste</x:v>
      </x:c>
      <x:c r="B13" s="8" t="str">
        <x:v>ED-0043</x:v>
      </x:c>
      <x:c r="C13" s="8" t="str">
        <x:v>Publicação de novembro/dezembro de 2025 preparada para 2026; alguns textos reutilizam ano 2025. Bloquear importação até revisão documental.</x:v>
      </x:c>
      <x:c r="D13" s="8" t="str">
        <x:v>FORA_ESCOPO_2026</x:v>
      </x:c>
      <x:c r="E13" s="8" t="str">
        <x:v>https://drive.google.com/file/d/1vUp5LfrsB_Cz_szM9Zhpg-5oO7XckfF0/view?usp=sharing</x:v>
      </x:c>
      <x:c r="F13" s="8" t="str">
        <x:v>Portal, busca por domínio, abertura do link, download e validação de conteúdo</x:v>
      </x:c>
      <x:c r="G13" s="8" t="str">
        <x:v>Obter edital completo e confirmar exercício/unidade antes de importar.</x:v>
      </x:c>
    </x:row>
    <x:row r="14" ht="84" customHeight="1">
      <x:c r="A14" s="8" t="str">
        <x:v>Primavera do Leste</x:v>
      </x:c>
      <x:c r="B14" s="8" t="str">
        <x:v>ED-0050</x:v>
      </x:c>
      <x:c r="C14" s="8" t="str">
        <x:v>Página do Diário Oficial com múltiplos avisos. Vínculo vem do contexto da publicação; falta conferir o edital integral.</x:v>
      </x:c>
      <x:c r="D14" s="8" t="str">
        <x:v>PENDENTE_EDITAL_COMPLETO</x:v>
      </x:c>
      <x:c r="E14" s="8" t="str">
        <x:v>https://drive.google.com/file/d/1ZOyOp4RM83qtRR9bmDlTKbPBme1_gTQH/view?usp=drive_link</x:v>
      </x:c>
      <x:c r="F14" s="8" t="str">
        <x:v>Portal, busca por domínio, abertura do link, download e validação de conteúdo</x:v>
      </x:c>
      <x:c r="G14" s="8" t="str">
        <x:v>Obter edital completo e confirmar exercício/unidade antes de importar.</x:v>
      </x:c>
    </x:row>
    <x:row r="15" ht="84" customHeight="1">
      <x:c r="A15" s="8" t="str">
        <x:v>Primavera do Leste</x:v>
      </x:c>
      <x:c r="B15" s="8" t="str">
        <x:v>ED-0052</x:v>
      </x:c>
      <x:c r="C15" s="8" t="str">
        <x:v>Página do Diário Oficial com múltiplos avisos. Vínculo vem do contexto da publicação; falta conferir o edital integral.</x:v>
      </x:c>
      <x:c r="D15" s="8" t="str">
        <x:v>PENDENTE_EDITAL_COMPLETO</x:v>
      </x:c>
      <x:c r="E15" s="8" t="str">
        <x:v>https://drive.google.com/file/d/1FTJ9Bu_XxE5WkradLZtsquDo3YF36RU2/view?usp=drive_link</x:v>
      </x:c>
      <x:c r="F15" s="8" t="str">
        <x:v>Portal, busca por domínio, abertura do link, download e validação de conteúdo</x:v>
      </x:c>
      <x:c r="G15" s="8" t="str">
        <x:v>Obter edital completo e confirmar exercício/unidade antes de importar.</x:v>
      </x:c>
    </x:row>
    <x:row r="16" ht="84" customHeight="1">
      <x:c r="A16" s="8" t="str">
        <x:v>Primavera do Leste</x:v>
      </x:c>
      <x:c r="B16" s="8" t="str">
        <x:v>ED-0053</x:v>
      </x:c>
      <x:c r="C16" s="8" t="str">
        <x:v>Página do Diário Oficial com múltiplos avisos. Vínculo vem do contexto da publicação; falta conferir o edital integral.</x:v>
      </x:c>
      <x:c r="D16" s="8" t="str">
        <x:v>PENDENTE_EDITAL_COMPLETO</x:v>
      </x:c>
      <x:c r="E16" s="8" t="str">
        <x:v>https://drive.google.com/file/d/1dtNrtzLzqkJuIbrhMuc4slA3lF2xIX5M/view?usp=drive_link</x:v>
      </x:c>
      <x:c r="F16" s="8" t="str">
        <x:v>Portal, busca por domínio, abertura do link, download e validação de conteúdo</x:v>
      </x:c>
      <x:c r="G16" s="8" t="str">
        <x:v>Obter edital completo e confirmar exercício/unidade antes de importar.</x:v>
      </x:c>
    </x:row>
    <x:row r="17" ht="84" customHeight="1">
      <x:c r="A17" s="8" t="str">
        <x:v>Primavera do Leste</x:v>
      </x:c>
      <x:c r="B17" s="8" t="str">
        <x:v>ED-0054</x:v>
      </x:c>
      <x:c r="C17" s="8" t="str">
        <x:v>Página do Diário Oficial com múltiplos avisos. Vínculo vem do contexto da publicação; falta conferir o edital integral.</x:v>
      </x:c>
      <x:c r="D17" s="8" t="str">
        <x:v>PENDENTE_EDITAL_COMPLETO</x:v>
      </x:c>
      <x:c r="E17" s="8" t="str">
        <x:v>https://drive.google.com/file/d/1Wjo67zqWJI8qfXZK9Y2pW5gBldH0eelK/view?usp=drive_link</x:v>
      </x:c>
      <x:c r="F17" s="8" t="str">
        <x:v>Portal, busca por domínio, abertura do link, download e validação de conteúdo</x:v>
      </x:c>
      <x:c r="G17" s="8" t="str">
        <x:v>Obter edital completo e confirmar exercício/unidade antes de importar.</x:v>
      </x:c>
    </x:row>
    <x:row r="18" ht="84" customHeight="1">
      <x:c r="A18" s="8" t="str">
        <x:v>Primavera do Leste</x:v>
      </x:c>
      <x:c r="B18" s="8" t="str">
        <x:v>ED-0055</x:v>
      </x:c>
      <x:c r="C18" s="8" t="str">
        <x:v>Página do Diário Oficial com múltiplos avisos. Vínculo vem do contexto da publicação; falta conferir o edital integral.</x:v>
      </x:c>
      <x:c r="D18" s="8" t="str">
        <x:v>PENDENTE_EDITAL_COMPLETO</x:v>
      </x:c>
      <x:c r="E18" s="8" t="str">
        <x:v>https://drive.google.com/file/d/1g3_xIr5sW6SvM_nkHxgpULhhPnpQb0Us/view?usp=drive_link</x:v>
      </x:c>
      <x:c r="F18" s="8" t="str">
        <x:v>Portal, busca por domínio, abertura do link, download e validação de conteúdo</x:v>
      </x:c>
      <x:c r="G18" s="8" t="str">
        <x:v>Obter edital completo e confirmar exercício/unidade antes de importar.</x:v>
      </x:c>
    </x:row>
    <x:row r="19" ht="84" customHeight="1">
      <x:c r="A19" s="8" t="str">
        <x:v>Tangará da Serra</x:v>
      </x:c>
      <x:c r="B19" s="8" t="str">
        <x:v>ED-0080</x:v>
      </x:c>
      <x:c r="C19" s="8" t="str">
        <x:v>Download retornou HTTP 404</x:v>
      </x:c>
      <x:c r="D19" s="8" t="str">
        <x:v>PENDENTE_ARQUIVO</x:v>
      </x:c>
      <x:c r="E19" s="8" t="str">
        <x:v>https://drive.google.com/file/d/1G0ElLv1VSiTCNWNCDSnDbahxi7EA5DIk/view?usp=drive_link</x:v>
      </x:c>
      <x:c r="F19" s="8" t="str">
        <x:v>Portal, busca por domínio, abertura do link, download e validação de conteúdo</x:v>
      </x:c>
      <x:c r="G19" s="8" t="str">
        <x:v>Obter edital completo e confirmar exercício/unidade antes de importar.</x:v>
      </x:c>
    </x:row>
    <x:row r="20" ht="84" customHeight="1">
      <x:c r="A20" s="8" t="str">
        <x:v>Tangará da Serra</x:v>
      </x:c>
      <x:c r="B20" s="8" t="str">
        <x:v>ED-0081</x:v>
      </x:c>
      <x:c r="C20" s="8" t="str">
        <x:v>Download retornou HTTP 404</x:v>
      </x:c>
      <x:c r="D20" s="8" t="str">
        <x:v>PENDENTE_ARQUIVO</x:v>
      </x:c>
      <x:c r="E20" s="8" t="str">
        <x:v>https://drive.google.com/file/d/1pzC2qhTXj3QNZsbZ4fBSZSIkxT8H7X8_/view?usp=drive_link</x:v>
      </x:c>
      <x:c r="F20" s="8" t="str">
        <x:v>Portal, busca por domínio, abertura do link, download e validação de conteúdo</x:v>
      </x:c>
      <x:c r="G20" s="8" t="str">
        <x:v>Obter edital completo e confirmar exercício/unidade antes de importar.</x:v>
      </x:c>
    </x:row>
    <x:row r="21" ht="84" customHeight="1">
      <x:c r="A21" s="8" t="str">
        <x:v>Tangará da Serra</x:v>
      </x:c>
      <x:c r="B21" s="8" t="str">
        <x:v>ED-0082</x:v>
      </x:c>
      <x:c r="C21" s="8" t="str">
        <x:v>Download retornou HTTP 404</x:v>
      </x:c>
      <x:c r="D21" s="8" t="str">
        <x:v>PENDENTE_ARQUIVO</x:v>
      </x:c>
      <x:c r="E21" s="8" t="str">
        <x:v>https://drive.google.com/file/d/1xAysEQ2u520IYvXlbAJszLnxCjLWy1Gz/view?usp=drive_link</x:v>
      </x:c>
      <x:c r="F21" s="8" t="str">
        <x:v>Portal, busca por domínio, abertura do link, download e validação de conteúdo</x:v>
      </x:c>
      <x:c r="G21" s="8" t="str">
        <x:v>Obter edital completo e confirmar exercício/unidade antes de importar.</x:v>
      </x:c>
    </x:row>
    <x:row r="22" ht="84" customHeight="1">
      <x:c r="A22" s="8" t="str">
        <x:v>Tangará da Serra</x:v>
      </x:c>
      <x:c r="B22" s="8" t="str">
        <x:v>ED-0083</x:v>
      </x:c>
      <x:c r="C22" s="8" t="str">
        <x:v>Download retornou HTTP 404</x:v>
      </x:c>
      <x:c r="D22" s="8" t="str">
        <x:v>PENDENTE_ARQUIVO</x:v>
      </x:c>
      <x:c r="E22" s="8" t="str">
        <x:v>https://drive.google.com/file/d/1BcSqSk-pcRGIqwD1yMcrXcuqKncBeNHw/view?usp=drive_link</x:v>
      </x:c>
      <x:c r="F22" s="8" t="str">
        <x:v>Portal, busca por domínio, abertura do link, download e validação de conteúdo</x:v>
      </x:c>
      <x:c r="G22" s="8" t="str">
        <x:v>Obter edital completo e confirmar exercício/unidade antes de importar.</x:v>
      </x:c>
    </x:row>
    <x:row r="23" ht="84" customHeight="1">
      <x:c r="A23" s="8" t="str">
        <x:v>Tangará da Serra</x:v>
      </x:c>
      <x:c r="B23" s="8" t="str">
        <x:v>ED-0084</x:v>
      </x:c>
      <x:c r="C23" s="8" t="str">
        <x:v>Download retornou HTTP 404</x:v>
      </x:c>
      <x:c r="D23" s="8" t="str">
        <x:v>PENDENTE_ARQUIVO</x:v>
      </x:c>
      <x:c r="E23" s="8" t="str">
        <x:v>https://drive.google.com/file/d/1lx7feury5GzGqaYu3fxkf0wkzaG8yuSj/view?usp=drive_link</x:v>
      </x:c>
      <x:c r="F23" s="8" t="str">
        <x:v>Portal, busca por domínio, abertura do link, download e validação de conteúdo</x:v>
      </x:c>
      <x:c r="G23" s="8" t="str">
        <x:v>Obter edital completo e confirmar exercício/unidade antes de importar.</x:v>
      </x:c>
    </x:row>
    <x:row r="24" ht="84" customHeight="1">
      <x:c r="A24" s="8" t="str">
        <x:v>Tangará da Serra</x:v>
      </x:c>
      <x:c r="B24" s="8" t="str">
        <x:v>ED-0085</x:v>
      </x:c>
      <x:c r="C24" s="8" t="str">
        <x:v>Download retornou HTTP 404</x:v>
      </x:c>
      <x:c r="D24" s="8" t="str">
        <x:v>PENDENTE_ARQUIVO</x:v>
      </x:c>
      <x:c r="E24" s="8" t="str">
        <x:v>https://drive.google.com/file/d/1ByAy0T06Y7QG9YNM4ZIZbk_eHmbidlDv/view?usp=drive_link</x:v>
      </x:c>
      <x:c r="F24" s="8" t="str">
        <x:v>Portal, busca por domínio, abertura do link, download e validação de conteúdo</x:v>
      </x:c>
      <x:c r="G24" s="8" t="str">
        <x:v>Obter edital completo e confirmar exercício/unidade antes de importar.</x:v>
      </x:c>
    </x:row>
    <x:row r="25" ht="84" customHeight="1">
      <x:c r="A25" s="8" t="str">
        <x:v>Tangará da Serra</x:v>
      </x:c>
      <x:c r="B25" s="8" t="str">
        <x:v>ED-0086</x:v>
      </x:c>
      <x:c r="C25" s="8" t="str">
        <x:v>Download retornou HTTP 404</x:v>
      </x:c>
      <x:c r="D25" s="8" t="str">
        <x:v>PENDENTE_ARQUIVO</x:v>
      </x:c>
      <x:c r="E25" s="8" t="str">
        <x:v>https://drive.google.com/file/d/1QXgBS_ON4HEe4EP-0cBgF9LMN808hc0m/view?usp=drive_link</x:v>
      </x:c>
      <x:c r="F25" s="8" t="str">
        <x:v>Portal, busca por domínio, abertura do link, download e validação de conteúdo</x:v>
      </x:c>
      <x:c r="G25" s="8" t="str">
        <x:v>Obter edital completo e confirmar exercício/unidade antes de importar.</x:v>
      </x:c>
    </x:row>
    <x:row r="26" ht="84" customHeight="1">
      <x:c r="A26" s="8" t="str">
        <x:v>Metropolitana</x:v>
      </x:c>
      <x:c r="B26" s="8" t="str">
        <x:v>ED-0099</x:v>
      </x:c>
      <x:c r="C26" s="8" t="str">
        <x:v>Portal associa à rodada de fim de 2025; processo/datas 2026 ou normas de setembro de 2025 conflitam com ano letivo 2025 no modelo. Não resolver automaticamente.</x:v>
      </x:c>
      <x:c r="D26" s="8" t="str">
        <x:v>FORA_ESCOPO_2026</x:v>
      </x:c>
      <x:c r="E26" s="8" t="str">
        <x:v>https://www.dmetropolitana.org/_files/ugd/2004f4_a29852589efd42ed8e069f3abcffbbc7.pdf</x:v>
      </x:c>
      <x:c r="F26" s="8" t="str">
        <x:v>Portal, busca por domínio, abertura do link, download e validação de conteúdo</x:v>
      </x:c>
      <x:c r="G26" s="8" t="str">
        <x:v>Obter edital completo e confirmar exercício/unidade antes de importar.</x:v>
      </x:c>
    </x:row>
    <x:row r="27" ht="84" customHeight="1">
      <x:c r="A27" s="8" t="str">
        <x:v>Metropolitana</x:v>
      </x:c>
      <x:c r="B27" s="8" t="str">
        <x:v>ED-0100</x:v>
      </x:c>
      <x:c r="C27" s="8" t="str">
        <x:v>Portal associa à rodada de fim de 2025; processo/datas 2026 ou normas de setembro de 2025 conflitam com ano letivo 2025 no modelo. Não resolver automaticamente.</x:v>
      </x:c>
      <x:c r="D27" s="8" t="str">
        <x:v>CONFLITO_EXERCICIO</x:v>
      </x:c>
      <x:c r="E27" s="8" t="str">
        <x:v>https://www.dmetropolitana.org/_files/ugd/2004f4_d275f8ff4df34f22aac00f2ef72077a1.pdf</x:v>
      </x:c>
      <x:c r="F27" s="8" t="str">
        <x:v>Portal, busca por domínio, abertura do link, download e validação de conteúdo</x:v>
      </x:c>
      <x:c r="G27" s="8" t="str">
        <x:v>Obter edital completo e confirmar exercício/unidade antes de importar.</x:v>
      </x:c>
    </x:row>
    <x:row r="28" ht="84" customHeight="1">
      <x:c r="A28" s="8" t="str">
        <x:v>Metropolitana</x:v>
      </x:c>
      <x:c r="B28" s="8" t="str">
        <x:v>ED-0101</x:v>
      </x:c>
      <x:c r="C28" s="8" t="str">
        <x:v>Portal associa à rodada de fim de 2025; processo/datas 2026 ou normas de setembro de 2025 conflitam com ano letivo 2025 no modelo. Não resolver automaticamente.</x:v>
      </x:c>
      <x:c r="D28" s="8" t="str">
        <x:v>FORA_ESCOPO_2026</x:v>
      </x:c>
      <x:c r="E28" s="8" t="str">
        <x:v>https://www.dmetropolitana.org/_files/ugd/2004f4_7e7f9188a88349d28235ca65582376ca.pdf</x:v>
      </x:c>
      <x:c r="F28" s="8" t="str">
        <x:v>Portal, busca por domínio, abertura do link, download e validação de conteúdo</x:v>
      </x:c>
      <x:c r="G28" s="8" t="str">
        <x:v>Obter edital completo e confirmar exercício/unidade antes de importar.</x:v>
      </x:c>
    </x:row>
    <x:row r="29" ht="84" customHeight="1">
      <x:c r="A29" s="8" t="str">
        <x:v>Metropolitana</x:v>
      </x:c>
      <x:c r="B29" s="8" t="str">
        <x:v>ED-0102</x:v>
      </x:c>
      <x:c r="C29" s="8" t="str">
        <x:v>Portal associa à rodada de fim de 2025; processo/datas 2026 ou normas de setembro de 2025 conflitam com ano letivo 2025 no modelo. Não resolver automaticamente.</x:v>
      </x:c>
      <x:c r="D29" s="8" t="str">
        <x:v>CONFLITO_EXERCICIO</x:v>
      </x:c>
      <x:c r="E29" s="8" t="str">
        <x:v>https://www.dmetropolitana.org/_files/ugd/2004f4_e84cb3a0d1f64507beff5c292c9fac5e.pdf</x:v>
      </x:c>
      <x:c r="F29" s="8" t="str">
        <x:v>Portal, busca por domínio, abertura do link, download e validação de conteúdo</x:v>
      </x:c>
      <x:c r="G29" s="8" t="str">
        <x:v>Obter edital completo e confirmar exercício/unidade antes de importar.</x:v>
      </x:c>
    </x:row>
    <x:row r="30" ht="84" customHeight="1">
      <x:c r="A30" s="8" t="str">
        <x:v>Metropolitana</x:v>
      </x:c>
      <x:c r="B30" s="8" t="str">
        <x:v>ED-0103</x:v>
      </x:c>
      <x:c r="C30" s="8" t="str">
        <x:v>Portal associa à rodada de fim de 2025; processo/datas 2026 ou normas de setembro de 2025 conflitam com ano letivo 2025 no modelo. Não resolver automaticamente.</x:v>
      </x:c>
      <x:c r="D30" s="8" t="str">
        <x:v>CONFLITO_EXERCICIO</x:v>
      </x:c>
      <x:c r="E30" s="8" t="str">
        <x:v>https://www.dmetropolitana.org/_files/ugd/2004f4_88a5d1caedc34dde8c02a2ce8321076d.pdf</x:v>
      </x:c>
      <x:c r="F30" s="8" t="str">
        <x:v>Portal, busca por domínio, abertura do link, download e validação de conteúdo</x:v>
      </x:c>
      <x:c r="G30" s="8" t="str">
        <x:v>Obter edital completo e confirmar exercício/unidade antes de importar.</x:v>
      </x:c>
    </x:row>
    <x:row r="31" ht="84" customHeight="1">
      <x:c r="A31" s="8" t="str">
        <x:v>Metropolitana</x:v>
      </x:c>
      <x:c r="B31" s="8" t="str">
        <x:v>ED-0104</x:v>
      </x:c>
      <x:c r="C31" s="8" t="str">
        <x:v>Portal associa à rodada de fim de 2025; processo/datas 2026 ou normas de setembro de 2025 conflitam com ano letivo 2025 no modelo. Não resolver automaticamente.</x:v>
      </x:c>
      <x:c r="D31" s="8" t="str">
        <x:v>CONFLITO_EXERCICIO</x:v>
      </x:c>
      <x:c r="E31" s="8" t="str">
        <x:v>https://www.dmetropolitana.org/_files/ugd/2004f4_42c1768cd2454f29a14f5e8b51c5c509.pdf</x:v>
      </x:c>
      <x:c r="F31" s="8" t="str">
        <x:v>Portal, busca por domínio, abertura do link, download e validação de conteúdo</x:v>
      </x:c>
      <x:c r="G31" s="8" t="str">
        <x:v>Obter edital completo e confirmar exercício/unidade antes de importar.</x:v>
      </x:c>
    </x:row>
    <x:row r="32" ht="84" customHeight="1">
      <x:c r="A32" s="8" t="str">
        <x:v>Metropolitana</x:v>
      </x:c>
      <x:c r="B32" s="8" t="str">
        <x:v>ED-0105</x:v>
      </x:c>
      <x:c r="C32" s="8" t="str">
        <x:v>Portal associa à rodada de fim de 2025; processo/datas 2026 ou normas de setembro de 2025 conflitam com ano letivo 2025 no modelo. Não resolver automaticamente.</x:v>
      </x:c>
      <x:c r="D32" s="8" t="str">
        <x:v>CONFLITO_EXERCICIO</x:v>
      </x:c>
      <x:c r="E32" s="8" t="str">
        <x:v>https://www.dmetropolitana.org/_files/ugd/2004f4_fcf2491bb40c4f5ca34e34cc02490f53.pdf</x:v>
      </x:c>
      <x:c r="F32" s="8" t="str">
        <x:v>Portal, busca por domínio, abertura do link, download e validação de conteúdo</x:v>
      </x:c>
      <x:c r="G32" s="8" t="str">
        <x:v>Obter edital completo e confirmar exercício/unidade antes de importar.</x:v>
      </x:c>
    </x:row>
    <x:row r="33" ht="84" customHeight="1">
      <x:c r="A33" s="8" t="str">
        <x:v>Metropolitana</x:v>
      </x:c>
      <x:c r="B33" s="8" t="str">
        <x:v>ED-0106</x:v>
      </x:c>
      <x:c r="C33" s="8" t="str">
        <x:v>Portal associa à rodada de fim de 2025; processo/datas 2026 ou normas de setembro de 2025 conflitam com ano letivo 2025 no modelo. Não resolver automaticamente.</x:v>
      </x:c>
      <x:c r="D33" s="8" t="str">
        <x:v>CONFLITO_EXERCICIO</x:v>
      </x:c>
      <x:c r="E33" s="8" t="str">
        <x:v>https://www.dmetropolitana.org/_files/ugd/2004f4_c48619e9ff29426d9ad5922b1a9474d8.pdf</x:v>
      </x:c>
      <x:c r="F33" s="8" t="str">
        <x:v>Portal, busca por domínio, abertura do link, download e validação de conteúdo</x:v>
      </x:c>
      <x:c r="G33" s="8" t="str">
        <x:v>Obter edital completo e confirmar exercício/unidade antes de importar.</x:v>
      </x:c>
    </x:row>
    <x:row r="34" ht="84" customHeight="1">
      <x:c r="A34" s="8" t="str">
        <x:v>Metropolitana</x:v>
      </x:c>
      <x:c r="B34" s="8" t="str">
        <x:v>ED-0107</x:v>
      </x:c>
      <x:c r="C34" s="8" t="str">
        <x:v>Portal associa à rodada de fim de 2025; processo/datas 2026 ou normas de setembro de 2025 conflitam com ano letivo 2025 no modelo. Não resolver automaticamente.</x:v>
      </x:c>
      <x:c r="D34" s="8" t="str">
        <x:v>CONFLITO_EXERCICIO</x:v>
      </x:c>
      <x:c r="E34" s="8" t="str">
        <x:v>https://www.dmetropolitana.org/_files/ugd/2004f4_a40cb2d0ef534c7d8b8153fb4c5c9697.pdf</x:v>
      </x:c>
      <x:c r="F34" s="8" t="str">
        <x:v>Portal, busca por domínio, abertura do link, download e validação de conteúdo</x:v>
      </x:c>
      <x:c r="G34" s="8" t="str">
        <x:v>Obter edital completo e confirmar exercício/unidade antes de importar.</x:v>
      </x:c>
    </x:row>
    <x:row r="35" ht="84" customHeight="1">
      <x:c r="A35" s="8" t="str">
        <x:v>Metropolitana</x:v>
      </x:c>
      <x:c r="B35" s="8" t="str">
        <x:v>ED-0108</x:v>
      </x:c>
      <x:c r="C35" s="8" t="str">
        <x:v>Portal associa à rodada de fim de 2025; processo/datas 2026 ou normas de setembro de 2025 conflitam com ano letivo 2025 no modelo. Não resolver automaticamente.</x:v>
      </x:c>
      <x:c r="D35" s="8" t="str">
        <x:v>CONFLITO_EXERCICIO</x:v>
      </x:c>
      <x:c r="E35" s="8" t="str">
        <x:v>https://www.dmetropolitana.org/_files/ugd/2004f4_c959216226f846ae8cd20addd9412c18.pdf</x:v>
      </x:c>
      <x:c r="F35" s="8" t="str">
        <x:v>Portal, busca por domínio, abertura do link, download e validação de conteúdo</x:v>
      </x:c>
      <x:c r="G35" s="8" t="str">
        <x:v>Obter edital completo e confirmar exercício/unidade antes de importar.</x:v>
      </x:c>
    </x:row>
    <x:row r="36" ht="84" customHeight="1">
      <x:c r="A36" s="8" t="str">
        <x:v>Metropolitana</x:v>
      </x:c>
      <x:c r="B36" s="8" t="str">
        <x:v>ED-0109</x:v>
      </x:c>
      <x:c r="C36" s="8" t="str">
        <x:v>Portal associa à rodada de fim de 2025; processo/datas 2026 ou normas de setembro de 2025 conflitam com ano letivo 2025 no modelo. Não resolver automaticamente.</x:v>
      </x:c>
      <x:c r="D36" s="8" t="str">
        <x:v>CONFLITO_EXERCICIO</x:v>
      </x:c>
      <x:c r="E36" s="8" t="str">
        <x:v>https://www.dmetropolitana.org/_files/ugd/2004f4_bd417cb1a36a4509975aedce74924758.pdf</x:v>
      </x:c>
      <x:c r="F36" s="8" t="str">
        <x:v>Portal, busca por domínio, abertura do link, download e validação de conteúdo</x:v>
      </x:c>
      <x:c r="G36" s="8" t="str">
        <x:v>Obter edital completo e confirmar exercício/unidade antes de importar.</x:v>
      </x:c>
    </x:row>
    <x:row r="37" ht="84" customHeight="1">
      <x:c r="A37" s="8" t="str">
        <x:v>Confresa</x:v>
      </x:c>
      <x:c r="B37" s="8" t="str">
        <x:v>ED-0122</x:v>
      </x:c>
      <x:c r="C37" s="8" t="str">
        <x:v>Extrato de contrato publicado em 2025. Comprova referência ao procedimento, mas não substitui edital nem prova sozinho o exercício de atendimento.</x:v>
      </x:c>
      <x:c r="D37" s="8" t="str">
        <x:v>REFERENCIA_HISTORICA</x:v>
      </x:c>
      <x:c r="E37" s="8" t="str">
        <x:v>https://www.iomat.mt.gov.br/legislacao/diario_oficial/download/873816</x:v>
      </x:c>
      <x:c r="F37" s="8" t="str">
        <x:v>Portal, busca por domínio, abertura do link, download e validação de conteúdo</x:v>
      </x:c>
      <x:c r="G37" s="8" t="str">
        <x:v>Obter edital completo e confirmar exercício/unidade antes de importar.</x:v>
      </x:c>
    </x:row>
    <x:row r="38" ht="84" customHeight="1">
      <x:c r="A38" s="8" t="str">
        <x:v>Barra do Garças</x:v>
      </x:c>
      <x:c r="B38" s="8" t="str">
        <x:v>ED-0123</x:v>
      </x:c>
      <x:c r="C38" s="8" t="str">
        <x:v>Extrato de contrato publicado em 2025. Comprova referência ao procedimento, mas não substitui edital nem prova sozinho o exercício de atendimento.</x:v>
      </x:c>
      <x:c r="D38" s="8" t="str">
        <x:v>REFERENCIA_HISTORICA</x:v>
      </x:c>
      <x:c r="E38" s="8" t="str">
        <x:v>https://www.iomat.mt.gov.br/legislacao/diario_oficial/download/884194</x:v>
      </x:c>
      <x:c r="F38" s="8" t="str">
        <x:v>Portal, busca por domínio, abertura do link, download e validação de conteúdo</x:v>
      </x:c>
      <x:c r="G38" s="8" t="str">
        <x:v>Obter edital completo e confirmar exercício/unidade antes de importar.</x:v>
      </x:c>
    </x:row>
    <x:row r="39" ht="84" customHeight="1">
      <x:c r="A39" s="8" t="str">
        <x:v>Rondonópolis</x:v>
      </x:c>
      <x:c r="B39" s="8" t="str">
        <x:v>ED-0124</x:v>
      </x:c>
      <x:c r="C39" s="8" t="str">
        <x:v>Extrato de contrato publicado em 2025. Comprova referência ao procedimento, mas não substitui edital nem prova sozinho o exercício de atendimento.</x:v>
      </x:c>
      <x:c r="D39" s="8" t="str">
        <x:v>REFERENCIA_HISTORICA</x:v>
      </x:c>
      <x:c r="E39" s="8" t="str">
        <x:v>https://www.iomat.mt.gov.br/legislacao/diario_oficial/download/902650</x:v>
      </x:c>
      <x:c r="F39" s="8" t="str">
        <x:v>Portal, busca por domínio, abertura do link, download e validação de conteúdo</x:v>
      </x:c>
      <x:c r="G39" s="8" t="str">
        <x:v>Obter edital completo e confirmar exercício/unidade antes de importar.</x:v>
      </x:c>
    </x:row>
    <x:row r="40" ht="84" customHeight="1">
      <x:c r="A40" s="8" t="str">
        <x:v>Matupá</x:v>
      </x:c>
      <x:c r="B40" s="8" t="str">
        <x:v>ED-0125</x:v>
      </x:c>
      <x:c r="C40" s="8" t="str">
        <x:v>Extrato de contrato publicado em 2025. Comprova referência ao procedimento, mas não substitui edital nem prova sozinho o exercício de atendimento.</x:v>
      </x:c>
      <x:c r="D40" s="8" t="str">
        <x:v>REFERENCIA_HISTORICA</x:v>
      </x:c>
      <x:c r="E40" s="8" t="str">
        <x:v>https://www.iomat.mt.gov.br/legislacao/diario_oficial/download/885190</x:v>
      </x:c>
      <x:c r="F40" s="8" t="str">
        <x:v>Portal, busca por domínio, abertura do link, download e validação de conteúdo</x:v>
      </x:c>
      <x:c r="G40" s="8" t="str">
        <x:v>Obter edital completo e confirmar exercício/unidade antes de importar.</x:v>
      </x:c>
    </x:row>
    <x:row r="41" ht="84" customHeight="1">
      <x:c r="A41" s="8" t="str">
        <x:v>Barra do Garças</x:v>
      </x:c>
      <x:c r="B41" s="8" t="str">
        <x:v>Cobertura regional</x:v>
      </x:c>
      <x:c r="C41" s="8" t="str">
        <x:v>Nenhum edital integral de chamada pública confirmado para 2025 no conjunto baixado. Não significa inexistência de editais.</x:v>
      </x:c>
      <x:c r="D41" s="8" t="str">
        <x:v>LACUNA_COBERTURA</x:v>
      </x:c>
      <x:c r="E41" s="8" t="str">
        <x:v>https://sites.google.com/edu.mt.gov.br/dre-barra-do-garcas</x:v>
      </x:c>
      <x:c r="F41" s="8" t="str">
        <x:v>Portal principal, seções administrativas/editais, buscas externas e listas de escolas quando disponíveis.</x:v>
      </x:c>
      <x:c r="G41" s="8" t="str">
        <x:v>Recuperar acervo histórico da DRE/CDCEs e validar a relação territorial de 2025.</x:v>
      </x:c>
    </x:row>
    <x:row r="42" ht="84" customHeight="1">
      <x:c r="A42" s="8" t="str">
        <x:v>Cáceres</x:v>
      </x:c>
      <x:c r="B42" s="8" t="str">
        <x:v>Cobertura regional</x:v>
      </x:c>
      <x:c r="C42" s="8" t="str">
        <x:v>Nenhum edital integral de chamada pública confirmado para 2025 no conjunto baixado. Não significa inexistência de editais.</x:v>
      </x:c>
      <x:c r="D42" s="8" t="str">
        <x:v>LACUNA_COBERTURA</x:v>
      </x:c>
      <x:c r="E42" s="8" t="str">
        <x:v>https://www.drecaceres.com.br/</x:v>
      </x:c>
      <x:c r="F42" s="8" t="str">
        <x:v>Portal principal, seções administrativas/editais, buscas externas e listas de escolas quando disponíveis.</x:v>
      </x:c>
      <x:c r="G42" s="8" t="str">
        <x:v>Recuperar acervo histórico da DRE/CDCEs e validar a relação territorial de 2025.</x:v>
      </x:c>
    </x:row>
    <x:row r="43" ht="84" customHeight="1">
      <x:c r="A43" s="8" t="str">
        <x:v>Confresa</x:v>
      </x:c>
      <x:c r="B43" s="8" t="str">
        <x:v>Cobertura regional</x:v>
      </x:c>
      <x:c r="C43" s="8" t="str">
        <x:v>Nenhum edital integral de chamada pública confirmado para 2025 no conjunto baixado. Não significa inexistência de editais.</x:v>
      </x:c>
      <x:c r="D43" s="8" t="str">
        <x:v>LACUNA_COBERTURA</x:v>
      </x:c>
      <x:c r="E43" s="8" t="str">
        <x:v>https://dreconfresa.com.br/</x:v>
      </x:c>
      <x:c r="F43" s="8" t="str">
        <x:v>Portal principal, seções administrativas/editais, buscas externas e listas de escolas quando disponíveis.</x:v>
      </x:c>
      <x:c r="G43" s="8" t="str">
        <x:v>Recuperar acervo histórico da DRE/CDCEs e validar a relação territorial de 2025.</x:v>
      </x:c>
    </x:row>
    <x:row r="44" ht="84" customHeight="1">
      <x:c r="A44" s="8" t="str">
        <x:v>Matupá</x:v>
      </x:c>
      <x:c r="B44" s="8" t="str">
        <x:v>Cobertura regional</x:v>
      </x:c>
      <x:c r="C44" s="8" t="str">
        <x:v>Nenhum edital integral de chamada pública confirmado para 2025 no conjunto baixado. Não significa inexistência de editais.</x:v>
      </x:c>
      <x:c r="D44" s="8" t="str">
        <x:v>LACUNA_COBERTURA</x:v>
      </x:c>
      <x:c r="E44" s="8" t="str">
        <x:v>https://www.drematupa.com.br/</x:v>
      </x:c>
      <x:c r="F44" s="8" t="str">
        <x:v>Portal principal, seções administrativas/editais, buscas externas e listas de escolas quando disponíveis.</x:v>
      </x:c>
      <x:c r="G44" s="8" t="str">
        <x:v>Recuperar acervo histórico da DRE/CDCEs e validar a relação territorial de 2025.</x:v>
      </x:c>
    </x:row>
    <x:row r="45" ht="84" customHeight="1">
      <x:c r="A45" s="8" t="str">
        <x:v>Metropolitana</x:v>
      </x:c>
      <x:c r="B45" s="8" t="str">
        <x:v>Cobertura regional</x:v>
      </x:c>
      <x:c r="C45" s="8" t="str">
        <x:v>Nenhum edital integral de chamada pública confirmado para 2025 no conjunto baixado. Não significa inexistência de editais.</x:v>
      </x:c>
      <x:c r="D45" s="8" t="str">
        <x:v>LACUNA_COBERTURA</x:v>
      </x:c>
      <x:c r="E45" s="8" t="str">
        <x:v>https://www.dmetropolitana.org/</x:v>
      </x:c>
      <x:c r="F45" s="8" t="str">
        <x:v>Portal principal, seções administrativas/editais, buscas externas e listas de escolas quando disponíveis.</x:v>
      </x:c>
      <x:c r="G45" s="8" t="str">
        <x:v>Recuperar acervo histórico da DRE/CDCEs e validar a relação territorial de 2025.</x:v>
      </x:c>
    </x:row>
    <x:row r="46" ht="84" customHeight="1">
      <x:c r="A46" s="8" t="str">
        <x:v>Rondonópolis</x:v>
      </x:c>
      <x:c r="B46" s="8" t="str">
        <x:v>Cobertura regional</x:v>
      </x:c>
      <x:c r="C46" s="8" t="str">
        <x:v>Nenhum edital integral de chamada pública confirmado para 2025 no conjunto baixado. Não significa inexistência de editais.</x:v>
      </x:c>
      <x:c r="D46" s="8" t="str">
        <x:v>LACUNA_COBERTURA</x:v>
      </x:c>
      <x:c r="E46" s="8" t="str">
        <x:v>https://drerondonopolis.com.br/</x:v>
      </x:c>
      <x:c r="F46" s="8" t="str">
        <x:v>Portal principal, seções administrativas/editais, buscas externas e listas de escolas quando disponíveis.</x:v>
      </x:c>
      <x:c r="G46" s="8" t="str">
        <x:v>Recuperar acervo histórico da DRE/CDCEs e validar a relação territorial de 2025.</x:v>
      </x:c>
    </x:row>
    <x:row r="47" ht="84" customHeight="1">
      <x:c r="A47" s="8" t="str">
        <x:v>Tangará da Serra</x:v>
      </x:c>
      <x:c r="B47" s="8" t="str">
        <x:v>Cobertura regional</x:v>
      </x:c>
      <x:c r="C47" s="8" t="str">
        <x:v>Nenhum edital integral de chamada pública confirmado para 2025 no conjunto baixado. Não significa inexistência de editais.</x:v>
      </x:c>
      <x:c r="D47" s="8" t="str">
        <x:v>LACUNA_COBERTURA</x:v>
      </x:c>
      <x:c r="E47" s="8" t="str">
        <x:v>https://sites.google.com/edu.mt.gov.br/dre-tangaradaserra/in%C3%ADcio</x:v>
      </x:c>
      <x:c r="F47" s="8" t="str">
        <x:v>Portal principal, seções administrativas/editais, buscas externas e listas de escolas quando disponíveis.</x:v>
      </x:c>
      <x:c r="G47" s="8" t="str">
        <x:v>Recuperar acervo histórico da DRE/CDCEs e validar a relação territorial de 2025.</x:v>
      </x:c>
    </x:row>
    <x:row r="48" ht="84" customHeight="1">
      <x:c r="A48" s="8" t="str">
        <x:v>Diamantino</x:v>
      </x:c>
      <x:c r="B48" s="8" t="str">
        <x:v>ED-0002</x:v>
      </x:c>
      <x:c r="C48" s="8" t="str">
        <x:v>Item 37, Pepino, página 18: valor total grafado R$ 2,205,70. Separadores ambíguos; não convertido automaticamente.</x:v>
      </x:c>
      <x:c r="D48" s="8" t="str">
        <x:v>FORMATO_NUMERICO_AMBIGUO</x:v>
      </x:c>
      <x:c r="E48" s="8" t="str">
        <x:v>https://drive.google.com/file/d/1zCzXCy_6UQ-wp3fF82YbY2eXyOdWj-LR/view?usp=drivesdk</x:v>
      </x:c>
      <x:c r="F48" s="8" t="str">
        <x:v>Extração textual e inspeção da linha de tabela.</x:v>
      </x:c>
      <x:c r="G48" s="8" t="str">
        <x:v>Conferir visualmente e registrar valor bruto; converter somente após revisão.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004236db7c645c1"/>
  </x:tableParts>
</x:worksheet>
</file>

<file path=xl/worksheets/sheet7.xml><?xml version="1.0" encoding="utf-8"?>
<x:worksheet xmlns:x="http://schemas.openxmlformats.org/spreadsheetml/2006/main">
  <x:sheetPr>
    <x:tabColor rgb="FF176B6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  <x:col min="6" max="6" width="24" hidden="0" customWidth="1"/>
    <x:col min="7" max="7" width="48" hidden="0" customWidth="1"/>
    <x:col min="8" max="8" width="48" hidden="0" customWidth="1"/>
    <x:col min="9" max="9" width="24" hidden="0" customWidth="1"/>
  </x:cols>
  <x:sheetData>
    <x:row r="1" ht="34" customHeight="1">
      <x:c r="A1" s="2" t="str">
        <x:v>Estruturas reutilizáveis de anexos</x:v>
      </x:c>
      <x:c r="B1" s="2"/>
      <x:c r="C1" s="2"/>
      <x:c r="D1" s="2"/>
      <x:c r="E1" s="2"/>
      <x:c r="F1" s="2"/>
    </x:row>
    <x:row r="2" ht="44" customHeight="1">
      <x:c r="A2" s="5" t="str">
        <x:v>Cabeçalhos identificados nos PDFs elegíveis. A ordem dos anexos varia; classificação por conteúdo deve prevalecer sobre numeral.</x:v>
      </x:c>
      <x:c r="B2" s="5"/>
      <x:c r="C2" s="5"/>
      <x:c r="D2" s="5"/>
      <x:c r="E2" s="5"/>
      <x:c r="F2" s="5"/>
    </x:row>
    <x:row r="4" ht="48" customHeight="1">
      <x:c r="A4" s="10" t="str">
        <x:v>ID do edital</x:v>
      </x:c>
      <x:c r="B4" s="10" t="str">
        <x:v>Documento</x:v>
      </x:c>
      <x:c r="C4" s="10" t="str">
        <x:v>DRE</x:v>
      </x:c>
      <x:c r="D4" s="10" t="str">
        <x:v>Anexo</x:v>
      </x:c>
      <x:c r="E4" s="10" t="str">
        <x:v>Título extraído</x:v>
      </x:c>
      <x:c r="F4" s="10" t="str">
        <x:v>Página</x:v>
      </x:c>
      <x:c r="G4" s="10" t="str">
        <x:v>Arquivo de origem</x:v>
      </x:c>
      <x:c r="H4" s="10" t="str">
        <x:v>Campos editáveis</x:v>
      </x:c>
      <x:c r="I4" s="10" t="str">
        <x:v>Status</x:v>
      </x:c>
    </x:row>
    <x:row r="5" ht="84" customHeight="1">
      <x:c r="A5" s="8" t="str">
        <x:v>ED-0001</x:v>
      </x:c>
      <x:c r="B5" s="8" t="str">
        <x:v>DOC-0001</x:v>
      </x:c>
      <x:c r="C5" s="8" t="str">
        <x:v>Diamantino</x:v>
      </x:c>
      <x:c r="D5" s="8" t="str">
        <x:v>I</x:v>
      </x:c>
      <x:c r="E5" s="8" t="str">
        <x:v>PROJETOS DE VENDAS PARA OS FORNECEDORES INDIVIDUAIS</x:v>
      </x:c>
      <x:c r="F5" s="8" t="n">
        <x:v>33</x:v>
      </x:c>
      <x:c r="G5" s="8" t="str">
        <x:v>PNAE_MT_2025/05_DIAMANTINO/DOC-0001_DOC-0001.pdf</x:v>
      </x:c>
      <x:c r="H5" s="8" t="str">
        <x:v>Identificadores, instituições, produtos/quantidades, datas e assinaturas; confirmar por tipo.</x:v>
      </x:c>
      <x:c r="I5" s="8" t="str">
        <x:v>Cabeçalho extraído; estrutura preservada no PDF</x:v>
      </x:c>
    </x:row>
    <x:row r="6" ht="84" customHeight="1">
      <x:c r="A6" s="8" t="str">
        <x:v>ED-0001</x:v>
      </x:c>
      <x:c r="B6" s="8" t="str">
        <x:v>DOC-0001</x:v>
      </x:c>
      <x:c r="C6" s="8" t="str">
        <x:v>Diamantino</x:v>
      </x:c>
      <x:c r="D6" s="8" t="str">
        <x:v>II</x:v>
      </x:c>
      <x:c r="E6" s="8" t="str">
        <x:v>PROJETO DE VENDAS PARA OS GRUPOS INFORMAIS PROJETO DE VENDA DE GÊNEROS ALIMENTÍCIOS DA AGRICULTURA FAMILIAR PARA ALIMENTAÇÃO ESCOLAR/PNAE</x:v>
      </x:c>
      <x:c r="F6" s="8" t="n">
        <x:v>35</x:v>
      </x:c>
      <x:c r="G6" s="8" t="str">
        <x:v>PNAE_MT_2025/05_DIAMANTINO/DOC-0001_DOC-0001.pdf</x:v>
      </x:c>
      <x:c r="H6" s="8" t="str">
        <x:v>Identificadores, instituições, produtos/quantidades, datas e assinaturas; confirmar por tipo.</x:v>
      </x:c>
      <x:c r="I6" s="8" t="str">
        <x:v>Cabeçalho extraído; estrutura preservada no PDF</x:v>
      </x:c>
    </x:row>
    <x:row r="7" ht="84" customHeight="1">
      <x:c r="A7" s="8" t="str">
        <x:v>ED-0001</x:v>
      </x:c>
      <x:c r="B7" s="8" t="str">
        <x:v>DOC-0001</x:v>
      </x:c>
      <x:c r="C7" s="8" t="str">
        <x:v>Diamantino</x:v>
      </x:c>
      <x:c r="D7" s="8" t="str">
        <x:v>III</x:v>
      </x:c>
      <x:c r="E7" s="8" t="str">
        <x:v>PROJETO DE VENDAS PARA OS GRUPOS FORMAIS</x:v>
      </x:c>
      <x:c r="F7" s="8" t="n">
        <x:v>38</x:v>
      </x:c>
      <x:c r="G7" s="8" t="str">
        <x:v>PNAE_MT_2025/05_DIAMANTINO/DOC-0001_DOC-0001.pdf</x:v>
      </x:c>
      <x:c r="H7" s="8" t="str">
        <x:v>Identificadores, instituições, produtos/quantidades, datas e assinaturas; confirmar por tipo.</x:v>
      </x:c>
      <x:c r="I7" s="8" t="str">
        <x:v>Cabeçalho extraído; estrutura preservada no PDF</x:v>
      </x:c>
    </x:row>
    <x:row r="8" ht="84" customHeight="1">
      <x:c r="A8" s="8" t="str">
        <x:v>ED-0001</x:v>
      </x:c>
      <x:c r="B8" s="8" t="str">
        <x:v>DOC-0001</x:v>
      </x:c>
      <x:c r="C8" s="8" t="str">
        <x:v>Diamantino</x:v>
      </x:c>
      <x:c r="D8" s="8" t="str">
        <x:v>IV</x:v>
      </x:c>
      <x:c r="E8" s="8" t="str">
        <x:v>RELAÇÃO DAS UNIDADES ESCOLARES CONTEMPLADAS ENDEREÇO DA UNIDADE</x:v>
      </x:c>
      <x:c r="F8" s="8" t="n">
        <x:v>41</x:v>
      </x:c>
      <x:c r="G8" s="8" t="str">
        <x:v>PNAE_MT_2025/05_DIAMANTINO/DOC-0001_DOC-0001.pdf</x:v>
      </x:c>
      <x:c r="H8" s="8" t="str">
        <x:v>Identificadores, instituições, produtos/quantidades, datas e assinaturas; confirmar por tipo.</x:v>
      </x:c>
      <x:c r="I8" s="8" t="str">
        <x:v>Cabeçalho extraído; estrutura preservada no PDF</x:v>
      </x:c>
    </x:row>
    <x:row r="9" ht="84" customHeight="1">
      <x:c r="A9" s="8" t="str">
        <x:v>ED-0001</x:v>
      </x:c>
      <x:c r="B9" s="8" t="str">
        <x:v>DOC-0001</x:v>
      </x:c>
      <x:c r="C9" s="8" t="str">
        <x:v>Diamantino</x:v>
      </x:c>
      <x:c r="D9" s="8" t="str">
        <x:v>V</x:v>
      </x:c>
      <x:c r="E9" s="8" t="str">
        <x:v>RESULTADO DA CHAMADA PÚBLICA</x:v>
      </x:c>
      <x:c r="F9" s="8" t="n">
        <x:v>41</x:v>
      </x:c>
      <x:c r="G9" s="8" t="str">
        <x:v>PNAE_MT_2025/05_DIAMANTINO/DOC-0001_DOC-0001.pdf</x:v>
      </x:c>
      <x:c r="H9" s="8" t="str">
        <x:v>Identificadores, instituições, produtos/quantidades, datas e assinaturas; confirmar por tipo.</x:v>
      </x:c>
      <x:c r="I9" s="8" t="str">
        <x:v>Cabeçalho extraído; estrutura preservada no PDF</x:v>
      </x:c>
    </x:row>
    <x:row r="10" ht="84" customHeight="1">
      <x:c r="A10" s="8" t="str">
        <x:v>ED-0001</x:v>
      </x:c>
      <x:c r="B10" s="8" t="str">
        <x:v>DOC-0001</x:v>
      </x:c>
      <x:c r="C10" s="8" t="str">
        <x:v>Diamantino</x:v>
      </x:c>
      <x:c r="D10" s="8" t="str">
        <x:v>VI</x:v>
      </x:c>
      <x:c r="E10" s="8" t="str">
        <x:v>MINUTA TERMO DE CONTRATO Nº 0XX/202X/SEDUC/MT</x:v>
      </x:c>
      <x:c r="F10" s="8" t="n">
        <x:v>42</x:v>
      </x:c>
      <x:c r="G10" s="8" t="str">
        <x:v>PNAE_MT_2025/05_DIAMANTINO/DOC-0001_DOC-0001.pdf</x:v>
      </x:c>
      <x:c r="H10" s="8" t="str">
        <x:v>Identificadores, instituições, produtos/quantidades, datas e assinaturas; confirmar por tipo.</x:v>
      </x:c>
      <x:c r="I10" s="8" t="str">
        <x:v>Cabeçalho extraído; estrutura preservada no PDF</x:v>
      </x:c>
    </x:row>
    <x:row r="11" ht="84" customHeight="1">
      <x:c r="A11" s="8" t="str">
        <x:v>ED-0002</x:v>
      </x:c>
      <x:c r="B11" s="8" t="str">
        <x:v>DOC-0002</x:v>
      </x:c>
      <x:c r="C11" s="8" t="str">
        <x:v>Diamantino</x:v>
      </x:c>
      <x:c r="D11" s="8" t="str">
        <x:v>I</x:v>
      </x:c>
      <x:c r="E11" s="8" t="str">
        <x:v>PROJETOS DE VENDAS PARA OS FORNECEDORES INDIVIDUAIS</x:v>
      </x:c>
      <x:c r="F11" s="8" t="n">
        <x:v>35</x:v>
      </x:c>
      <x:c r="G11" s="8" t="str">
        <x:v>PNAE_MT_2025/05_DIAMANTINO/DOC-0002_DOC-0002.pdf</x:v>
      </x:c>
      <x:c r="H11" s="8" t="str">
        <x:v>Identificadores, instituições, produtos/quantidades, datas e assinaturas; confirmar por tipo.</x:v>
      </x:c>
      <x:c r="I11" s="8" t="str">
        <x:v>Cabeçalho extraído; estrutura preservada no PDF</x:v>
      </x:c>
    </x:row>
    <x:row r="12" ht="84" customHeight="1">
      <x:c r="A12" s="8" t="str">
        <x:v>ED-0002</x:v>
      </x:c>
      <x:c r="B12" s="8" t="str">
        <x:v>DOC-0002</x:v>
      </x:c>
      <x:c r="C12" s="8" t="str">
        <x:v>Diamantino</x:v>
      </x:c>
      <x:c r="D12" s="8" t="str">
        <x:v>II</x:v>
      </x:c>
      <x:c r="E12" s="8" t="str">
        <x:v>PROJETO DE VENDAS PARA OS GRUPOS INFORMAIS PROJETO DE VENDA DE GÊNEROS ALIMENTÍCIOS DA AGRICULTURA FAMILIAR PARA ALIMENTAÇÃO ESCOLAR/PNAE</x:v>
      </x:c>
      <x:c r="F12" s="8" t="n">
        <x:v>38</x:v>
      </x:c>
      <x:c r="G12" s="8" t="str">
        <x:v>PNAE_MT_2025/05_DIAMANTINO/DOC-0002_DOC-0002.pdf</x:v>
      </x:c>
      <x:c r="H12" s="8" t="str">
        <x:v>Identificadores, instituições, produtos/quantidades, datas e assinaturas; confirmar por tipo.</x:v>
      </x:c>
      <x:c r="I12" s="8" t="str">
        <x:v>Cabeçalho extraído; estrutura preservada no PDF</x:v>
      </x:c>
    </x:row>
    <x:row r="13" ht="84" customHeight="1">
      <x:c r="A13" s="8" t="str">
        <x:v>ED-0002</x:v>
      </x:c>
      <x:c r="B13" s="8" t="str">
        <x:v>DOC-0002</x:v>
      </x:c>
      <x:c r="C13" s="8" t="str">
        <x:v>Diamantino</x:v>
      </x:c>
      <x:c r="D13" s="8" t="str">
        <x:v>III</x:v>
      </x:c>
      <x:c r="E13" s="8" t="str">
        <x:v>PROJETO DE VENDAS PARA OS GRUPOS FORMAIS</x:v>
      </x:c>
      <x:c r="F13" s="8" t="n">
        <x:v>41</x:v>
      </x:c>
      <x:c r="G13" s="8" t="str">
        <x:v>PNAE_MT_2025/05_DIAMANTINO/DOC-0002_DOC-0002.pdf</x:v>
      </x:c>
      <x:c r="H13" s="8" t="str">
        <x:v>Identificadores, instituições, produtos/quantidades, datas e assinaturas; confirmar por tipo.</x:v>
      </x:c>
      <x:c r="I13" s="8" t="str">
        <x:v>Cabeçalho extraído; estrutura preservada no PDF</x:v>
      </x:c>
    </x:row>
    <x:row r="14" ht="84" customHeight="1">
      <x:c r="A14" s="8" t="str">
        <x:v>ED-0002</x:v>
      </x:c>
      <x:c r="B14" s="8" t="str">
        <x:v>DOC-0002</x:v>
      </x:c>
      <x:c r="C14" s="8" t="str">
        <x:v>Diamantino</x:v>
      </x:c>
      <x:c r="D14" s="8" t="str">
        <x:v>IV</x:v>
      </x:c>
      <x:c r="E14" s="8" t="str">
        <x:v>RELAÇÃO DAS UNIDADES ESCOLARES CONTEMPLADAS</x:v>
      </x:c>
      <x:c r="F14" s="8" t="n">
        <x:v>44</x:v>
      </x:c>
      <x:c r="G14" s="8" t="str">
        <x:v>PNAE_MT_2025/05_DIAMANTINO/DOC-0002_DOC-0002.pdf</x:v>
      </x:c>
      <x:c r="H14" s="8" t="str">
        <x:v>Identificadores, instituições, produtos/quantidades, datas e assinaturas; confirmar por tipo.</x:v>
      </x:c>
      <x:c r="I14" s="8" t="str">
        <x:v>Cabeçalho extraído; estrutura preservada no PDF</x:v>
      </x:c>
    </x:row>
    <x:row r="15" ht="84" customHeight="1">
      <x:c r="A15" s="8" t="str">
        <x:v>ED-0002</x:v>
      </x:c>
      <x:c r="B15" s="8" t="str">
        <x:v>DOC-0002</x:v>
      </x:c>
      <x:c r="C15" s="8" t="str">
        <x:v>Diamantino</x:v>
      </x:c>
      <x:c r="D15" s="8" t="str">
        <x:v>V</x:v>
      </x:c>
      <x:c r="E15" s="8" t="str">
        <x:v>RESULTADO DA CHAMADA PÚBLICA</x:v>
      </x:c>
      <x:c r="F15" s="8" t="n">
        <x:v>44</x:v>
      </x:c>
      <x:c r="G15" s="8" t="str">
        <x:v>PNAE_MT_2025/05_DIAMANTINO/DOC-0002_DOC-0002.pdf</x:v>
      </x:c>
      <x:c r="H15" s="8" t="str">
        <x:v>Identificadores, instituições, produtos/quantidades, datas e assinaturas; confirmar por tipo.</x:v>
      </x:c>
      <x:c r="I15" s="8" t="str">
        <x:v>Cabeçalho extraído; estrutura preservada no PDF</x:v>
      </x:c>
    </x:row>
    <x:row r="16" ht="84" customHeight="1">
      <x:c r="A16" s="8" t="str">
        <x:v>ED-0002</x:v>
      </x:c>
      <x:c r="B16" s="8" t="str">
        <x:v>DOC-0002</x:v>
      </x:c>
      <x:c r="C16" s="8" t="str">
        <x:v>Diamantino</x:v>
      </x:c>
      <x:c r="D16" s="8" t="str">
        <x:v>VI</x:v>
      </x:c>
      <x:c r="E16" s="8" t="str">
        <x:v>MINUTA TERMO DE CONTRATO Nº 0XX/202X/SEDUC/MT</x:v>
      </x:c>
      <x:c r="F16" s="8" t="n">
        <x:v>45</x:v>
      </x:c>
      <x:c r="G16" s="8" t="str">
        <x:v>PNAE_MT_2025/05_DIAMANTINO/DOC-0002_DOC-0002.pdf</x:v>
      </x:c>
      <x:c r="H16" s="8" t="str">
        <x:v>Identificadores, instituições, produtos/quantidades, datas e assinaturas; confirmar por tipo.</x:v>
      </x:c>
      <x:c r="I16" s="8" t="str">
        <x:v>Cabeçalho extraído; estrutura preservada no PDF</x:v>
      </x:c>
    </x:row>
    <x:row r="17" ht="84" customHeight="1">
      <x:c r="A17" s="8" t="str">
        <x:v>ED-0003</x:v>
      </x:c>
      <x:c r="B17" s="8" t="str">
        <x:v>DOC-0003</x:v>
      </x:c>
      <x:c r="C17" s="8" t="str">
        <x:v>Diamantino</x:v>
      </x:c>
      <x:c r="D17" s="8" t="str">
        <x:v>I</x:v>
      </x:c>
      <x:c r="E17" s="8" t="str">
        <x:v>PROJETOS DE VENDAS PARA OS FORNECEDORES INDIVIDUAIS</x:v>
      </x:c>
      <x:c r="F17" s="8" t="n">
        <x:v>33</x:v>
      </x:c>
      <x:c r="G17" s="8" t="str">
        <x:v>PNAE_MT_2025/05_DIAMANTINO/DOC-0003_DOC-0003.pdf</x:v>
      </x:c>
      <x:c r="H17" s="8" t="str">
        <x:v>Identificadores, instituições, produtos/quantidades, datas e assinaturas; confirmar por tipo.</x:v>
      </x:c>
      <x:c r="I17" s="8" t="str">
        <x:v>Cabeçalho extraído; estrutura preservada no PDF</x:v>
      </x:c>
    </x:row>
    <x:row r="18" ht="84" customHeight="1">
      <x:c r="A18" s="8" t="str">
        <x:v>ED-0003</x:v>
      </x:c>
      <x:c r="B18" s="8" t="str">
        <x:v>DOC-0003</x:v>
      </x:c>
      <x:c r="C18" s="8" t="str">
        <x:v>Diamantino</x:v>
      </x:c>
      <x:c r="D18" s="8" t="str">
        <x:v>II</x:v>
      </x:c>
      <x:c r="E18" s="8" t="str">
        <x:v>PROJETO DE VENDAS PARA OS GRUPOS INFORMAIS PROJETO DE VENDA DE GÊNEROS ALIMENTÍCIOS DA AGRICULTURA FAMILIAR PARA ALIMENTAÇÃO ESCOLAR/PNAE</x:v>
      </x:c>
      <x:c r="F18" s="8" t="n">
        <x:v>35</x:v>
      </x:c>
      <x:c r="G18" s="8" t="str">
        <x:v>PNAE_MT_2025/05_DIAMANTINO/DOC-0003_DOC-0003.pdf</x:v>
      </x:c>
      <x:c r="H18" s="8" t="str">
        <x:v>Identificadores, instituições, produtos/quantidades, datas e assinaturas; confirmar por tipo.</x:v>
      </x:c>
      <x:c r="I18" s="8" t="str">
        <x:v>Cabeçalho extraído; estrutura preservada no PDF</x:v>
      </x:c>
    </x:row>
    <x:row r="19" ht="84" customHeight="1">
      <x:c r="A19" s="8" t="str">
        <x:v>ED-0003</x:v>
      </x:c>
      <x:c r="B19" s="8" t="str">
        <x:v>DOC-0003</x:v>
      </x:c>
      <x:c r="C19" s="8" t="str">
        <x:v>Diamantino</x:v>
      </x:c>
      <x:c r="D19" s="8" t="str">
        <x:v>III</x:v>
      </x:c>
      <x:c r="E19" s="8" t="str">
        <x:v>PROJETO DE VENDAS PARA OS GRUPOS FORMAIS</x:v>
      </x:c>
      <x:c r="F19" s="8" t="n">
        <x:v>38</x:v>
      </x:c>
      <x:c r="G19" s="8" t="str">
        <x:v>PNAE_MT_2025/05_DIAMANTINO/DOC-0003_DOC-0003.pdf</x:v>
      </x:c>
      <x:c r="H19" s="8" t="str">
        <x:v>Identificadores, instituições, produtos/quantidades, datas e assinaturas; confirmar por tipo.</x:v>
      </x:c>
      <x:c r="I19" s="8" t="str">
        <x:v>Cabeçalho extraído; estrutura preservada no PDF</x:v>
      </x:c>
    </x:row>
    <x:row r="20" ht="84" customHeight="1">
      <x:c r="A20" s="8" t="str">
        <x:v>ED-0003</x:v>
      </x:c>
      <x:c r="B20" s="8" t="str">
        <x:v>DOC-0003</x:v>
      </x:c>
      <x:c r="C20" s="8" t="str">
        <x:v>Diamantino</x:v>
      </x:c>
      <x:c r="D20" s="8" t="str">
        <x:v>IV</x:v>
      </x:c>
      <x:c r="E20" s="8" t="str">
        <x:v>RELAÇÃO DAS UNIDADES ESCOLARES CONTEMPLADAS</x:v>
      </x:c>
      <x:c r="F20" s="8" t="n">
        <x:v>41</x:v>
      </x:c>
      <x:c r="G20" s="8" t="str">
        <x:v>PNAE_MT_2025/05_DIAMANTINO/DOC-0003_DOC-0003.pdf</x:v>
      </x:c>
      <x:c r="H20" s="8" t="str">
        <x:v>Identificadores, instituições, produtos/quantidades, datas e assinaturas; confirmar por tipo.</x:v>
      </x:c>
      <x:c r="I20" s="8" t="str">
        <x:v>Cabeçalho extraído; estrutura preservada no PDF</x:v>
      </x:c>
    </x:row>
    <x:row r="21" ht="84" customHeight="1">
      <x:c r="A21" s="8" t="str">
        <x:v>ED-0003</x:v>
      </x:c>
      <x:c r="B21" s="8" t="str">
        <x:v>DOC-0003</x:v>
      </x:c>
      <x:c r="C21" s="8" t="str">
        <x:v>Diamantino</x:v>
      </x:c>
      <x:c r="D21" s="8" t="str">
        <x:v>V</x:v>
      </x:c>
      <x:c r="E21" s="8" t="str">
        <x:v>RESULTADO DA CHAMADA PÚBLICA</x:v>
      </x:c>
      <x:c r="F21" s="8" t="n">
        <x:v>41</x:v>
      </x:c>
      <x:c r="G21" s="8" t="str">
        <x:v>PNAE_MT_2025/05_DIAMANTINO/DOC-0003_DOC-0003.pdf</x:v>
      </x:c>
      <x:c r="H21" s="8" t="str">
        <x:v>Identificadores, instituições, produtos/quantidades, datas e assinaturas; confirmar por tipo.</x:v>
      </x:c>
      <x:c r="I21" s="8" t="str">
        <x:v>Cabeçalho extraído; estrutura preservada no PDF</x:v>
      </x:c>
    </x:row>
    <x:row r="22" ht="84" customHeight="1">
      <x:c r="A22" s="8" t="str">
        <x:v>ED-0003</x:v>
      </x:c>
      <x:c r="B22" s="8" t="str">
        <x:v>DOC-0003</x:v>
      </x:c>
      <x:c r="C22" s="8" t="str">
        <x:v>Diamantino</x:v>
      </x:c>
      <x:c r="D22" s="8" t="str">
        <x:v>VI</x:v>
      </x:c>
      <x:c r="E22" s="8" t="str">
        <x:v>MINUTA TERMO DE CONTRATO Nº 0XX/202X/SEDUC/MT</x:v>
      </x:c>
      <x:c r="F22" s="8" t="n">
        <x:v>42</x:v>
      </x:c>
      <x:c r="G22" s="8" t="str">
        <x:v>PNAE_MT_2025/05_DIAMANTINO/DOC-0003_DOC-0003.pdf</x:v>
      </x:c>
      <x:c r="H22" s="8" t="str">
        <x:v>Identificadores, instituições, produtos/quantidades, datas e assinaturas; confirmar por tipo.</x:v>
      </x:c>
      <x:c r="I22" s="8" t="str">
        <x:v>Cabeçalho extraído; estrutura preservada no PDF</x:v>
      </x:c>
    </x:row>
    <x:row r="23" ht="84" customHeight="1">
      <x:c r="A23" s="8" t="str">
        <x:v>ED-0004</x:v>
      </x:c>
      <x:c r="B23" s="8" t="str">
        <x:v>DOC-0004</x:v>
      </x:c>
      <x:c r="C23" s="8" t="str">
        <x:v>Diamantino</x:v>
      </x:c>
      <x:c r="D23" s="8" t="str">
        <x:v>I</x:v>
      </x:c>
      <x:c r="E23" s="8" t="str">
        <x:v>PROJETOS DE VENDAS PARA OS FORNECEDORES INDIVIDUAIS</x:v>
      </x:c>
      <x:c r="F23" s="8" t="n">
        <x:v>31</x:v>
      </x:c>
      <x:c r="G23" s="8" t="str">
        <x:v>PNAE_MT_2025/05_DIAMANTINO/DOC-0004_DOC-0004.pdf</x:v>
      </x:c>
      <x:c r="H23" s="8" t="str">
        <x:v>Identificadores, instituições, produtos/quantidades, datas e assinaturas; confirmar por tipo.</x:v>
      </x:c>
      <x:c r="I23" s="8" t="str">
        <x:v>Cabeçalho extraído; estrutura preservada no PDF</x:v>
      </x:c>
    </x:row>
    <x:row r="24" ht="84" customHeight="1">
      <x:c r="A24" s="8" t="str">
        <x:v>ED-0004</x:v>
      </x:c>
      <x:c r="B24" s="8" t="str">
        <x:v>DOC-0004</x:v>
      </x:c>
      <x:c r="C24" s="8" t="str">
        <x:v>Diamantino</x:v>
      </x:c>
      <x:c r="D24" s="8" t="str">
        <x:v>II</x:v>
      </x:c>
      <x:c r="E24" s="8" t="str">
        <x:v>PROJETO DE VENDAS PARA OS GRUPOS INFORMAIS PROJETO DE VENDA DE GÊNEROS ALIMENTÍCIOS DA AGRICULTURA FAMILIAR PARA ALIMENTAÇÃO ESCOLAR/PNAE</x:v>
      </x:c>
      <x:c r="F24" s="8" t="n">
        <x:v>33</x:v>
      </x:c>
      <x:c r="G24" s="8" t="str">
        <x:v>PNAE_MT_2025/05_DIAMANTINO/DOC-0004_DOC-0004.pdf</x:v>
      </x:c>
      <x:c r="H24" s="8" t="str">
        <x:v>Identificadores, instituições, produtos/quantidades, datas e assinaturas; confirmar por tipo.</x:v>
      </x:c>
      <x:c r="I24" s="8" t="str">
        <x:v>Cabeçalho extraído; estrutura preservada no PDF</x:v>
      </x:c>
    </x:row>
    <x:row r="25" ht="84" customHeight="1">
      <x:c r="A25" s="8" t="str">
        <x:v>ED-0004</x:v>
      </x:c>
      <x:c r="B25" s="8" t="str">
        <x:v>DOC-0004</x:v>
      </x:c>
      <x:c r="C25" s="8" t="str">
        <x:v>Diamantino</x:v>
      </x:c>
      <x:c r="D25" s="8" t="str">
        <x:v>III</x:v>
      </x:c>
      <x:c r="E25" s="8" t="str">
        <x:v>PROJETO DE VENDAS PARA OS GRUPOS FORMAIS</x:v>
      </x:c>
      <x:c r="F25" s="8" t="n">
        <x:v>36</x:v>
      </x:c>
      <x:c r="G25" s="8" t="str">
        <x:v>PNAE_MT_2025/05_DIAMANTINO/DOC-0004_DOC-0004.pdf</x:v>
      </x:c>
      <x:c r="H25" s="8" t="str">
        <x:v>Identificadores, instituições, produtos/quantidades, datas e assinaturas; confirmar por tipo.</x:v>
      </x:c>
      <x:c r="I25" s="8" t="str">
        <x:v>Cabeçalho extraído; estrutura preservada no PDF</x:v>
      </x:c>
    </x:row>
    <x:row r="26" ht="84" customHeight="1">
      <x:c r="A26" s="8" t="str">
        <x:v>ED-0004</x:v>
      </x:c>
      <x:c r="B26" s="8" t="str">
        <x:v>DOC-0004</x:v>
      </x:c>
      <x:c r="C26" s="8" t="str">
        <x:v>Diamantino</x:v>
      </x:c>
      <x:c r="D26" s="8" t="str">
        <x:v>IV</x:v>
      </x:c>
      <x:c r="E26" s="8" t="str">
        <x:v>RELAÇÃO DAS UNIDADES ESCOLARES CONTEMPLADAS</x:v>
      </x:c>
      <x:c r="F26" s="8" t="n">
        <x:v>39</x:v>
      </x:c>
      <x:c r="G26" s="8" t="str">
        <x:v>PNAE_MT_2025/05_DIAMANTINO/DOC-0004_DOC-0004.pdf</x:v>
      </x:c>
      <x:c r="H26" s="8" t="str">
        <x:v>Identificadores, instituições, produtos/quantidades, datas e assinaturas; confirmar por tipo.</x:v>
      </x:c>
      <x:c r="I26" s="8" t="str">
        <x:v>Cabeçalho extraído; estrutura preservada no PDF</x:v>
      </x:c>
    </x:row>
    <x:row r="27" ht="84" customHeight="1">
      <x:c r="A27" s="8" t="str">
        <x:v>ED-0004</x:v>
      </x:c>
      <x:c r="B27" s="8" t="str">
        <x:v>DOC-0004</x:v>
      </x:c>
      <x:c r="C27" s="8" t="str">
        <x:v>Diamantino</x:v>
      </x:c>
      <x:c r="D27" s="8" t="str">
        <x:v>V</x:v>
      </x:c>
      <x:c r="E27" s="8" t="str">
        <x:v>RESULTADO DA CHAMADA PÚBLICA</x:v>
      </x:c>
      <x:c r="F27" s="8" t="n">
        <x:v>39</x:v>
      </x:c>
      <x:c r="G27" s="8" t="str">
        <x:v>PNAE_MT_2025/05_DIAMANTINO/DOC-0004_DOC-0004.pdf</x:v>
      </x:c>
      <x:c r="H27" s="8" t="str">
        <x:v>Identificadores, instituições, produtos/quantidades, datas e assinaturas; confirmar por tipo.</x:v>
      </x:c>
      <x:c r="I27" s="8" t="str">
        <x:v>Cabeçalho extraído; estrutura preservada no PDF</x:v>
      </x:c>
    </x:row>
    <x:row r="28" ht="84" customHeight="1">
      <x:c r="A28" s="8" t="str">
        <x:v>ED-0004</x:v>
      </x:c>
      <x:c r="B28" s="8" t="str">
        <x:v>DOC-0004</x:v>
      </x:c>
      <x:c r="C28" s="8" t="str">
        <x:v>Diamantino</x:v>
      </x:c>
      <x:c r="D28" s="8" t="str">
        <x:v>VI</x:v>
      </x:c>
      <x:c r="E28" s="8" t="str">
        <x:v>MINUTA TERMO DE CONTRATO Nº 0XX/202X/SEDUC/MT</x:v>
      </x:c>
      <x:c r="F28" s="8" t="n">
        <x:v>40</x:v>
      </x:c>
      <x:c r="G28" s="8" t="str">
        <x:v>PNAE_MT_2025/05_DIAMANTINO/DOC-0004_DOC-0004.pdf</x:v>
      </x:c>
      <x:c r="H28" s="8" t="str">
        <x:v>Identificadores, instituições, produtos/quantidades, datas e assinaturas; confirmar por tipo.</x:v>
      </x:c>
      <x:c r="I28" s="8" t="str">
        <x:v>Cabeçalho extraído; estrutura preservada no PDF</x:v>
      </x:c>
    </x:row>
    <x:row r="29" ht="84" customHeight="1">
      <x:c r="A29" s="8" t="str">
        <x:v>ED-0005</x:v>
      </x:c>
      <x:c r="B29" s="8" t="str">
        <x:v>DOC-0005</x:v>
      </x:c>
      <x:c r="C29" s="8" t="str">
        <x:v>Diamantino</x:v>
      </x:c>
      <x:c r="D29" s="8" t="str">
        <x:v>I</x:v>
      </x:c>
      <x:c r="E29" s="8" t="str">
        <x:v>PROJETOS DE VENDAS PARA OS FORNECEDORES INDIVIDUAIS</x:v>
      </x:c>
      <x:c r="F29" s="8" t="n">
        <x:v>30</x:v>
      </x:c>
      <x:c r="G29" s="8" t="str">
        <x:v>PNAE_MT_2025/05_DIAMANTINO/DOC-0005_DOC-0005.pdf</x:v>
      </x:c>
      <x:c r="H29" s="8" t="str">
        <x:v>Identificadores, instituições, produtos/quantidades, datas e assinaturas; confirmar por tipo.</x:v>
      </x:c>
      <x:c r="I29" s="8" t="str">
        <x:v>Cabeçalho extraído; estrutura preservada no PDF</x:v>
      </x:c>
    </x:row>
    <x:row r="30" ht="84" customHeight="1">
      <x:c r="A30" s="8" t="str">
        <x:v>ED-0005</x:v>
      </x:c>
      <x:c r="B30" s="8" t="str">
        <x:v>DOC-0005</x:v>
      </x:c>
      <x:c r="C30" s="8" t="str">
        <x:v>Diamantino</x:v>
      </x:c>
      <x:c r="D30" s="8" t="str">
        <x:v>II</x:v>
      </x:c>
      <x:c r="E30" s="8" t="str">
        <x:v>PROJETO DE VENDAS PARA OS GRUPOS INFORMAIS PROJETO DE VENDA DE GÊNEROS ALIMENTÍCIOS DA AGRICULTURA FAMILIAR PARA ALIMENTAÇÃO ESCOLAR/PNAE</x:v>
      </x:c>
      <x:c r="F30" s="8" t="n">
        <x:v>32</x:v>
      </x:c>
      <x:c r="G30" s="8" t="str">
        <x:v>PNAE_MT_2025/05_DIAMANTINO/DOC-0005_DOC-0005.pdf</x:v>
      </x:c>
      <x:c r="H30" s="8" t="str">
        <x:v>Identificadores, instituições, produtos/quantidades, datas e assinaturas; confirmar por tipo.</x:v>
      </x:c>
      <x:c r="I30" s="8" t="str">
        <x:v>Cabeçalho extraído; estrutura preservada no PDF</x:v>
      </x:c>
    </x:row>
    <x:row r="31" ht="84" customHeight="1">
      <x:c r="A31" s="8" t="str">
        <x:v>ED-0005</x:v>
      </x:c>
      <x:c r="B31" s="8" t="str">
        <x:v>DOC-0005</x:v>
      </x:c>
      <x:c r="C31" s="8" t="str">
        <x:v>Diamantino</x:v>
      </x:c>
      <x:c r="D31" s="8" t="str">
        <x:v>III</x:v>
      </x:c>
      <x:c r="E31" s="8" t="str">
        <x:v>PROJETO DE VENDAS PARA OS GRUPOS FORMAIS</x:v>
      </x:c>
      <x:c r="F31" s="8" t="n">
        <x:v>35</x:v>
      </x:c>
      <x:c r="G31" s="8" t="str">
        <x:v>PNAE_MT_2025/05_DIAMANTINO/DOC-0005_DOC-0005.pdf</x:v>
      </x:c>
      <x:c r="H31" s="8" t="str">
        <x:v>Identificadores, instituições, produtos/quantidades, datas e assinaturas; confirmar por tipo.</x:v>
      </x:c>
      <x:c r="I31" s="8" t="str">
        <x:v>Cabeçalho extraído; estrutura preservada no PDF</x:v>
      </x:c>
    </x:row>
    <x:row r="32" ht="84" customHeight="1">
      <x:c r="A32" s="8" t="str">
        <x:v>ED-0005</x:v>
      </x:c>
      <x:c r="B32" s="8" t="str">
        <x:v>DOC-0005</x:v>
      </x:c>
      <x:c r="C32" s="8" t="str">
        <x:v>Diamantino</x:v>
      </x:c>
      <x:c r="D32" s="8" t="str">
        <x:v>IV</x:v>
      </x:c>
      <x:c r="E32" s="8" t="str">
        <x:v>RELAÇÃO DAS UNIDADES ESCOLARES CONTEMPLADAS</x:v>
      </x:c>
      <x:c r="F32" s="8" t="n">
        <x:v>38</x:v>
      </x:c>
      <x:c r="G32" s="8" t="str">
        <x:v>PNAE_MT_2025/05_DIAMANTINO/DOC-0005_DOC-0005.pdf</x:v>
      </x:c>
      <x:c r="H32" s="8" t="str">
        <x:v>Identificadores, instituições, produtos/quantidades, datas e assinaturas; confirmar por tipo.</x:v>
      </x:c>
      <x:c r="I32" s="8" t="str">
        <x:v>Cabeçalho extraído; estrutura preservada no PDF</x:v>
      </x:c>
    </x:row>
    <x:row r="33" ht="84" customHeight="1">
      <x:c r="A33" s="8" t="str">
        <x:v>ED-0005</x:v>
      </x:c>
      <x:c r="B33" s="8" t="str">
        <x:v>DOC-0005</x:v>
      </x:c>
      <x:c r="C33" s="8" t="str">
        <x:v>Diamantino</x:v>
      </x:c>
      <x:c r="D33" s="8" t="str">
        <x:v>V</x:v>
      </x:c>
      <x:c r="E33" s="8" t="str">
        <x:v>RESULTADO DA CHAMADA PÚBLICA</x:v>
      </x:c>
      <x:c r="F33" s="8" t="n">
        <x:v>38</x:v>
      </x:c>
      <x:c r="G33" s="8" t="str">
        <x:v>PNAE_MT_2025/05_DIAMANTINO/DOC-0005_DOC-0005.pdf</x:v>
      </x:c>
      <x:c r="H33" s="8" t="str">
        <x:v>Identificadores, instituições, produtos/quantidades, datas e assinaturas; confirmar por tipo.</x:v>
      </x:c>
      <x:c r="I33" s="8" t="str">
        <x:v>Cabeçalho extraído; estrutura preservada no PDF</x:v>
      </x:c>
    </x:row>
    <x:row r="34" ht="84" customHeight="1">
      <x:c r="A34" s="8" t="str">
        <x:v>ED-0005</x:v>
      </x:c>
      <x:c r="B34" s="8" t="str">
        <x:v>DOC-0005</x:v>
      </x:c>
      <x:c r="C34" s="8" t="str">
        <x:v>Diamantino</x:v>
      </x:c>
      <x:c r="D34" s="8" t="str">
        <x:v>VI</x:v>
      </x:c>
      <x:c r="E34" s="8" t="str">
        <x:v>MINUTA TERMO DE CONTRATO Nº 0XX/202X/SEDUC/MT</x:v>
      </x:c>
      <x:c r="F34" s="8" t="n">
        <x:v>39</x:v>
      </x:c>
      <x:c r="G34" s="8" t="str">
        <x:v>PNAE_MT_2025/05_DIAMANTINO/DOC-0005_DOC-0005.pdf</x:v>
      </x:c>
      <x:c r="H34" s="8" t="str">
        <x:v>Identificadores, instituições, produtos/quantidades, datas e assinaturas; confirmar por tipo.</x:v>
      </x:c>
      <x:c r="I34" s="8" t="str">
        <x:v>Cabeçalho extraído; estrutura preservada no PDF</x:v>
      </x:c>
    </x:row>
    <x:row r="35" ht="84" customHeight="1">
      <x:c r="A35" s="8" t="str">
        <x:v>ED-0006</x:v>
      </x:c>
      <x:c r="B35" s="8" t="str">
        <x:v>DOC-0006</x:v>
      </x:c>
      <x:c r="C35" s="8" t="str">
        <x:v>Diamantino</x:v>
      </x:c>
      <x:c r="D35" s="8" t="str">
        <x:v>I</x:v>
      </x:c>
      <x:c r="E35" s="8" t="str">
        <x:v>PROJETOS DE VENDAS PARA OS FORNECEDORES INDIVIDUAIS</x:v>
      </x:c>
      <x:c r="F35" s="8" t="n">
        <x:v>30</x:v>
      </x:c>
      <x:c r="G35" s="8" t="str">
        <x:v>PNAE_MT_2025/05_DIAMANTINO/DOC-0006_DOC-0006.pdf</x:v>
      </x:c>
      <x:c r="H35" s="8" t="str">
        <x:v>Identificadores, instituições, produtos/quantidades, datas e assinaturas; confirmar por tipo.</x:v>
      </x:c>
      <x:c r="I35" s="8" t="str">
        <x:v>Cabeçalho extraído; estrutura preservada no PDF</x:v>
      </x:c>
    </x:row>
    <x:row r="36" ht="84" customHeight="1">
      <x:c r="A36" s="8" t="str">
        <x:v>ED-0006</x:v>
      </x:c>
      <x:c r="B36" s="8" t="str">
        <x:v>DOC-0006</x:v>
      </x:c>
      <x:c r="C36" s="8" t="str">
        <x:v>Diamantino</x:v>
      </x:c>
      <x:c r="D36" s="8" t="str">
        <x:v>II</x:v>
      </x:c>
      <x:c r="E36" s="8" t="str">
        <x:v>PROJETO DE VENDAS PARA OS GRUPOS INFORMAIS PROJETO DE VENDA DE GÊNEROS ALIMENTÍCIOS DA AGRICULTURA FAMILIAR PARA ALIMENTAÇÃO ESCOLAR/PNAE</x:v>
      </x:c>
      <x:c r="F36" s="8" t="n">
        <x:v>32</x:v>
      </x:c>
      <x:c r="G36" s="8" t="str">
        <x:v>PNAE_MT_2025/05_DIAMANTINO/DOC-0006_DOC-0006.pdf</x:v>
      </x:c>
      <x:c r="H36" s="8" t="str">
        <x:v>Identificadores, instituições, produtos/quantidades, datas e assinaturas; confirmar por tipo.</x:v>
      </x:c>
      <x:c r="I36" s="8" t="str">
        <x:v>Cabeçalho extraído; estrutura preservada no PDF</x:v>
      </x:c>
    </x:row>
    <x:row r="37" ht="84" customHeight="1">
      <x:c r="A37" s="8" t="str">
        <x:v>ED-0006</x:v>
      </x:c>
      <x:c r="B37" s="8" t="str">
        <x:v>DOC-0006</x:v>
      </x:c>
      <x:c r="C37" s="8" t="str">
        <x:v>Diamantino</x:v>
      </x:c>
      <x:c r="D37" s="8" t="str">
        <x:v>III</x:v>
      </x:c>
      <x:c r="E37" s="8" t="str">
        <x:v>PROJETO DE VENDAS PARA OS GRUPOS FORMAIS</x:v>
      </x:c>
      <x:c r="F37" s="8" t="n">
        <x:v>35</x:v>
      </x:c>
      <x:c r="G37" s="8" t="str">
        <x:v>PNAE_MT_2025/05_DIAMANTINO/DOC-0006_DOC-0006.pdf</x:v>
      </x:c>
      <x:c r="H37" s="8" t="str">
        <x:v>Identificadores, instituições, produtos/quantidades, datas e assinaturas; confirmar por tipo.</x:v>
      </x:c>
      <x:c r="I37" s="8" t="str">
        <x:v>Cabeçalho extraído; estrutura preservada no PDF</x:v>
      </x:c>
    </x:row>
    <x:row r="38" ht="84" customHeight="1">
      <x:c r="A38" s="8" t="str">
        <x:v>ED-0006</x:v>
      </x:c>
      <x:c r="B38" s="8" t="str">
        <x:v>DOC-0006</x:v>
      </x:c>
      <x:c r="C38" s="8" t="str">
        <x:v>Diamantino</x:v>
      </x:c>
      <x:c r="D38" s="8" t="str">
        <x:v>IV</x:v>
      </x:c>
      <x:c r="E38" s="8" t="str">
        <x:v>RELAÇÃO DAS UNIDADES ESCOLARES CONTEMPLADAS</x:v>
      </x:c>
      <x:c r="F38" s="8" t="n">
        <x:v>38</x:v>
      </x:c>
      <x:c r="G38" s="8" t="str">
        <x:v>PNAE_MT_2025/05_DIAMANTINO/DOC-0006_DOC-0006.pdf</x:v>
      </x:c>
      <x:c r="H38" s="8" t="str">
        <x:v>Identificadores, instituições, produtos/quantidades, datas e assinaturas; confirmar por tipo.</x:v>
      </x:c>
      <x:c r="I38" s="8" t="str">
        <x:v>Cabeçalho extraído; estrutura preservada no PDF</x:v>
      </x:c>
    </x:row>
    <x:row r="39" ht="84" customHeight="1">
      <x:c r="A39" s="8" t="str">
        <x:v>ED-0006</x:v>
      </x:c>
      <x:c r="B39" s="8" t="str">
        <x:v>DOC-0006</x:v>
      </x:c>
      <x:c r="C39" s="8" t="str">
        <x:v>Diamantino</x:v>
      </x:c>
      <x:c r="D39" s="8" t="str">
        <x:v>V</x:v>
      </x:c>
      <x:c r="E39" s="8" t="str">
        <x:v>RESULTADO DA CHAMADA PÚBLICA</x:v>
      </x:c>
      <x:c r="F39" s="8" t="n">
        <x:v>38</x:v>
      </x:c>
      <x:c r="G39" s="8" t="str">
        <x:v>PNAE_MT_2025/05_DIAMANTINO/DOC-0006_DOC-0006.pdf</x:v>
      </x:c>
      <x:c r="H39" s="8" t="str">
        <x:v>Identificadores, instituições, produtos/quantidades, datas e assinaturas; confirmar por tipo.</x:v>
      </x:c>
      <x:c r="I39" s="8" t="str">
        <x:v>Cabeçalho extraído; estrutura preservada no PDF</x:v>
      </x:c>
    </x:row>
    <x:row r="40" ht="84" customHeight="1">
      <x:c r="A40" s="8" t="str">
        <x:v>ED-0006</x:v>
      </x:c>
      <x:c r="B40" s="8" t="str">
        <x:v>DOC-0006</x:v>
      </x:c>
      <x:c r="C40" s="8" t="str">
        <x:v>Diamantino</x:v>
      </x:c>
      <x:c r="D40" s="8" t="str">
        <x:v>VI</x:v>
      </x:c>
      <x:c r="E40" s="8" t="str">
        <x:v>MINUTA TERMO DE CONTRATO Nº 0XX/202X/SEDUC/MT</x:v>
      </x:c>
      <x:c r="F40" s="8" t="n">
        <x:v>39</x:v>
      </x:c>
      <x:c r="G40" s="8" t="str">
        <x:v>PNAE_MT_2025/05_DIAMANTINO/DOC-0006_DOC-0006.pdf</x:v>
      </x:c>
      <x:c r="H40" s="8" t="str">
        <x:v>Identificadores, instituições, produtos/quantidades, datas e assinaturas; confirmar por tipo.</x:v>
      </x:c>
      <x:c r="I40" s="8" t="str">
        <x:v>Cabeçalho extraído; estrutura preservada no PDF</x:v>
      </x:c>
    </x:row>
    <x:row r="41" ht="84" customHeight="1">
      <x:c r="A41" s="8" t="str">
        <x:v>ED-0007</x:v>
      </x:c>
      <x:c r="B41" s="8" t="str">
        <x:v>DOC-0007</x:v>
      </x:c>
      <x:c r="C41" s="8" t="str">
        <x:v>Diamantino</x:v>
      </x:c>
      <x:c r="D41" s="8" t="str">
        <x:v>I</x:v>
      </x:c>
      <x:c r="E41" s="8" t="str">
        <x:v>PROJETOS DE VENDAS PARA OS FORNECEDORES INDIVIDUAIS</x:v>
      </x:c>
      <x:c r="F41" s="8" t="n">
        <x:v>29</x:v>
      </x:c>
      <x:c r="G41" s="8" t="str">
        <x:v>PNAE_MT_2025/05_DIAMANTINO/DOC-0007_DOC-0007.pdf</x:v>
      </x:c>
      <x:c r="H41" s="8" t="str">
        <x:v>Identificadores, instituições, produtos/quantidades, datas e assinaturas; confirmar por tipo.</x:v>
      </x:c>
      <x:c r="I41" s="8" t="str">
        <x:v>Cabeçalho extraído; estrutura preservada no PDF</x:v>
      </x:c>
    </x:row>
    <x:row r="42" ht="84" customHeight="1">
      <x:c r="A42" s="8" t="str">
        <x:v>ED-0007</x:v>
      </x:c>
      <x:c r="B42" s="8" t="str">
        <x:v>DOC-0007</x:v>
      </x:c>
      <x:c r="C42" s="8" t="str">
        <x:v>Diamantino</x:v>
      </x:c>
      <x:c r="D42" s="8" t="str">
        <x:v>II</x:v>
      </x:c>
      <x:c r="E42" s="8" t="str">
        <x:v>PROJETO DE VENDAS PARA OS GRUPOS INFORMAIS PROJETO DE VENDA DE GÊNEROS ALIMENTÍCIOS DA AGRICULTURA FAMILIAR PARA ALIMENTAÇÃO ESCOLAR/PNAE</x:v>
      </x:c>
      <x:c r="F42" s="8" t="n">
        <x:v>31</x:v>
      </x:c>
      <x:c r="G42" s="8" t="str">
        <x:v>PNAE_MT_2025/05_DIAMANTINO/DOC-0007_DOC-0007.pdf</x:v>
      </x:c>
      <x:c r="H42" s="8" t="str">
        <x:v>Identificadores, instituições, produtos/quantidades, datas e assinaturas; confirmar por tipo.</x:v>
      </x:c>
      <x:c r="I42" s="8" t="str">
        <x:v>Cabeçalho extraído; estrutura preservada no PDF</x:v>
      </x:c>
    </x:row>
    <x:row r="43" ht="84" customHeight="1">
      <x:c r="A43" s="8" t="str">
        <x:v>ED-0007</x:v>
      </x:c>
      <x:c r="B43" s="8" t="str">
        <x:v>DOC-0007</x:v>
      </x:c>
      <x:c r="C43" s="8" t="str">
        <x:v>Diamantino</x:v>
      </x:c>
      <x:c r="D43" s="8" t="str">
        <x:v>III</x:v>
      </x:c>
      <x:c r="E43" s="8" t="str">
        <x:v>PROJETO DE VENDAS PARA OS GRUPOS FORMAIS</x:v>
      </x:c>
      <x:c r="F43" s="8" t="n">
        <x:v>34</x:v>
      </x:c>
      <x:c r="G43" s="8" t="str">
        <x:v>PNAE_MT_2025/05_DIAMANTINO/DOC-0007_DOC-0007.pdf</x:v>
      </x:c>
      <x:c r="H43" s="8" t="str">
        <x:v>Identificadores, instituições, produtos/quantidades, datas e assinaturas; confirmar por tipo.</x:v>
      </x:c>
      <x:c r="I43" s="8" t="str">
        <x:v>Cabeçalho extraído; estrutura preservada no PDF</x:v>
      </x:c>
    </x:row>
    <x:row r="44" ht="84" customHeight="1">
      <x:c r="A44" s="8" t="str">
        <x:v>ED-0007</x:v>
      </x:c>
      <x:c r="B44" s="8" t="str">
        <x:v>DOC-0007</x:v>
      </x:c>
      <x:c r="C44" s="8" t="str">
        <x:v>Diamantino</x:v>
      </x:c>
      <x:c r="D44" s="8" t="str">
        <x:v>IV</x:v>
      </x:c>
      <x:c r="E44" s="8" t="str">
        <x:v>RELAÇÃO DAS UNIDADES ESCOLARES CONTEMPLADAS</x:v>
      </x:c>
      <x:c r="F44" s="8" t="n">
        <x:v>37</x:v>
      </x:c>
      <x:c r="G44" s="8" t="str">
        <x:v>PNAE_MT_2025/05_DIAMANTINO/DOC-0007_DOC-0007.pdf</x:v>
      </x:c>
      <x:c r="H44" s="8" t="str">
        <x:v>Identificadores, instituições, produtos/quantidades, datas e assinaturas; confirmar por tipo.</x:v>
      </x:c>
      <x:c r="I44" s="8" t="str">
        <x:v>Cabeçalho extraído; estrutura preservada no PDF</x:v>
      </x:c>
    </x:row>
    <x:row r="45" ht="84" customHeight="1">
      <x:c r="A45" s="8" t="str">
        <x:v>ED-0007</x:v>
      </x:c>
      <x:c r="B45" s="8" t="str">
        <x:v>DOC-0007</x:v>
      </x:c>
      <x:c r="C45" s="8" t="str">
        <x:v>Diamantino</x:v>
      </x:c>
      <x:c r="D45" s="8" t="str">
        <x:v>V</x:v>
      </x:c>
      <x:c r="E45" s="8" t="str">
        <x:v>RESULTADO DA CHAMADA PÚBLICA</x:v>
      </x:c>
      <x:c r="F45" s="8" t="n">
        <x:v>37</x:v>
      </x:c>
      <x:c r="G45" s="8" t="str">
        <x:v>PNAE_MT_2025/05_DIAMANTINO/DOC-0007_DOC-0007.pdf</x:v>
      </x:c>
      <x:c r="H45" s="8" t="str">
        <x:v>Identificadores, instituições, produtos/quantidades, datas e assinaturas; confirmar por tipo.</x:v>
      </x:c>
      <x:c r="I45" s="8" t="str">
        <x:v>Cabeçalho extraído; estrutura preservada no PDF</x:v>
      </x:c>
    </x:row>
    <x:row r="46" ht="84" customHeight="1">
      <x:c r="A46" s="8" t="str">
        <x:v>ED-0007</x:v>
      </x:c>
      <x:c r="B46" s="8" t="str">
        <x:v>DOC-0007</x:v>
      </x:c>
      <x:c r="C46" s="8" t="str">
        <x:v>Diamantino</x:v>
      </x:c>
      <x:c r="D46" s="8" t="str">
        <x:v>VI</x:v>
      </x:c>
      <x:c r="E46" s="8" t="str">
        <x:v>MINUTA TERMO DE CONTRATO Nº 0XX/202X/SEDUC/MT</x:v>
      </x:c>
      <x:c r="F46" s="8" t="n">
        <x:v>38</x:v>
      </x:c>
      <x:c r="G46" s="8" t="str">
        <x:v>PNAE_MT_2025/05_DIAMANTINO/DOC-0007_DOC-0007.pdf</x:v>
      </x:c>
      <x:c r="H46" s="8" t="str">
        <x:v>Identificadores, instituições, produtos/quantidades, datas e assinaturas; confirmar por tipo.</x:v>
      </x:c>
      <x:c r="I46" s="8" t="str">
        <x:v>Cabeçalho extraído; estrutura preservada no PDF</x:v>
      </x:c>
    </x:row>
    <x:row r="47" ht="84" customHeight="1">
      <x:c r="A47" s="8" t="str">
        <x:v>ED-0008</x:v>
      </x:c>
      <x:c r="B47" s="8" t="str">
        <x:v>DOC-0008</x:v>
      </x:c>
      <x:c r="C47" s="8" t="str">
        <x:v>Diamantino</x:v>
      </x:c>
      <x:c r="D47" s="8" t="str">
        <x:v>I</x:v>
      </x:c>
      <x:c r="E47" s="8" t="str">
        <x:v>PROJETOS DE VENDAS PARA OS FORNECEDORES INDIVIDUAIS</x:v>
      </x:c>
      <x:c r="F47" s="8" t="n">
        <x:v>28</x:v>
      </x:c>
      <x:c r="G47" s="8" t="str">
        <x:v>PNAE_MT_2025/05_DIAMANTINO/DOC-0008_DOC-0008.pdf</x:v>
      </x:c>
      <x:c r="H47" s="8" t="str">
        <x:v>Identificadores, instituições, produtos/quantidades, datas e assinaturas; confirmar por tipo.</x:v>
      </x:c>
      <x:c r="I47" s="8" t="str">
        <x:v>Cabeçalho extraído; estrutura preservada no PDF</x:v>
      </x:c>
    </x:row>
    <x:row r="48" ht="84" customHeight="1">
      <x:c r="A48" s="8" t="str">
        <x:v>ED-0008</x:v>
      </x:c>
      <x:c r="B48" s="8" t="str">
        <x:v>DOC-0008</x:v>
      </x:c>
      <x:c r="C48" s="8" t="str">
        <x:v>Diamantino</x:v>
      </x:c>
      <x:c r="D48" s="8" t="str">
        <x:v>II</x:v>
      </x:c>
      <x:c r="E48" s="8" t="str">
        <x:v>PROJETO DE VENDAS PARA OS GRUPOS INFORMAIS PROJETO DE VENDA DE GÊNEROS ALIMENTÍCIOS DA AGRICULTURA FAMILIAR PARA ALIMENTAÇÃO ESCOLAR/PNAE</x:v>
      </x:c>
      <x:c r="F48" s="8" t="n">
        <x:v>31</x:v>
      </x:c>
      <x:c r="G48" s="8" t="str">
        <x:v>PNAE_MT_2025/05_DIAMANTINO/DOC-0008_DOC-0008.pdf</x:v>
      </x:c>
      <x:c r="H48" s="8" t="str">
        <x:v>Identificadores, instituições, produtos/quantidades, datas e assinaturas; confirmar por tipo.</x:v>
      </x:c>
      <x:c r="I48" s="8" t="str">
        <x:v>Cabeçalho extraído; estrutura preservada no PDF</x:v>
      </x:c>
    </x:row>
    <x:row r="49" ht="84" customHeight="1">
      <x:c r="A49" s="8" t="str">
        <x:v>ED-0008</x:v>
      </x:c>
      <x:c r="B49" s="8" t="str">
        <x:v>DOC-0008</x:v>
      </x:c>
      <x:c r="C49" s="8" t="str">
        <x:v>Diamantino</x:v>
      </x:c>
      <x:c r="D49" s="8" t="str">
        <x:v>III</x:v>
      </x:c>
      <x:c r="E49" s="8" t="str">
        <x:v>PROJETO DE VENDAS PARA OS GRUPOS FORMAIS</x:v>
      </x:c>
      <x:c r="F49" s="8" t="n">
        <x:v>34</x:v>
      </x:c>
      <x:c r="G49" s="8" t="str">
        <x:v>PNAE_MT_2025/05_DIAMANTINO/DOC-0008_DOC-0008.pdf</x:v>
      </x:c>
      <x:c r="H49" s="8" t="str">
        <x:v>Identificadores, instituições, produtos/quantidades, datas e assinaturas; confirmar por tipo.</x:v>
      </x:c>
      <x:c r="I49" s="8" t="str">
        <x:v>Cabeçalho extraído; estrutura preservada no PDF</x:v>
      </x:c>
    </x:row>
    <x:row r="50" ht="84" customHeight="1">
      <x:c r="A50" s="8" t="str">
        <x:v>ED-0008</x:v>
      </x:c>
      <x:c r="B50" s="8" t="str">
        <x:v>DOC-0008</x:v>
      </x:c>
      <x:c r="C50" s="8" t="str">
        <x:v>Diamantino</x:v>
      </x:c>
      <x:c r="D50" s="8" t="str">
        <x:v>IV</x:v>
      </x:c>
      <x:c r="E50" s="8" t="str">
        <x:v>RELAÇÃO DAS UNIDADES ESCOLARES CONTEMPLADAS</x:v>
      </x:c>
      <x:c r="F50" s="8" t="n">
        <x:v>37</x:v>
      </x:c>
      <x:c r="G50" s="8" t="str">
        <x:v>PNAE_MT_2025/05_DIAMANTINO/DOC-0008_DOC-0008.pdf</x:v>
      </x:c>
      <x:c r="H50" s="8" t="str">
        <x:v>Identificadores, instituições, produtos/quantidades, datas e assinaturas; confirmar por tipo.</x:v>
      </x:c>
      <x:c r="I50" s="8" t="str">
        <x:v>Cabeçalho extraído; estrutura preservada no PDF</x:v>
      </x:c>
    </x:row>
    <x:row r="51" ht="84" customHeight="1">
      <x:c r="A51" s="8" t="str">
        <x:v>ED-0008</x:v>
      </x:c>
      <x:c r="B51" s="8" t="str">
        <x:v>DOC-0008</x:v>
      </x:c>
      <x:c r="C51" s="8" t="str">
        <x:v>Diamantino</x:v>
      </x:c>
      <x:c r="D51" s="8" t="str">
        <x:v>V</x:v>
      </x:c>
      <x:c r="E51" s="8" t="str">
        <x:v>RESULTADO DA CHAMADA PÚBLICA</x:v>
      </x:c>
      <x:c r="F51" s="8" t="n">
        <x:v>37</x:v>
      </x:c>
      <x:c r="G51" s="8" t="str">
        <x:v>PNAE_MT_2025/05_DIAMANTINO/DOC-0008_DOC-0008.pdf</x:v>
      </x:c>
      <x:c r="H51" s="8" t="str">
        <x:v>Identificadores, instituições, produtos/quantidades, datas e assinaturas; confirmar por tipo.</x:v>
      </x:c>
      <x:c r="I51" s="8" t="str">
        <x:v>Cabeçalho extraído; estrutura preservada no PDF</x:v>
      </x:c>
    </x:row>
    <x:row r="52" ht="84" customHeight="1">
      <x:c r="A52" s="8" t="str">
        <x:v>ED-0008</x:v>
      </x:c>
      <x:c r="B52" s="8" t="str">
        <x:v>DOC-0008</x:v>
      </x:c>
      <x:c r="C52" s="8" t="str">
        <x:v>Diamantino</x:v>
      </x:c>
      <x:c r="D52" s="8" t="str">
        <x:v>VI</x:v>
      </x:c>
      <x:c r="E52" s="8" t="str">
        <x:v>MINUTA TERMO DE CONTRATO Nº 0XX/202X/SEDUC/MT</x:v>
      </x:c>
      <x:c r="F52" s="8" t="n">
        <x:v>38</x:v>
      </x:c>
      <x:c r="G52" s="8" t="str">
        <x:v>PNAE_MT_2025/05_DIAMANTINO/DOC-0008_DOC-0008.pdf</x:v>
      </x:c>
      <x:c r="H52" s="8" t="str">
        <x:v>Identificadores, instituições, produtos/quantidades, datas e assinaturas; confirmar por tipo.</x:v>
      </x:c>
      <x:c r="I52" s="8" t="str">
        <x:v>Cabeçalho extraído; estrutura preservada no PDF</x:v>
      </x:c>
    </x:row>
    <x:row r="53" ht="84" customHeight="1">
      <x:c r="A53" s="8" t="str">
        <x:v>ED-0009</x:v>
      </x:c>
      <x:c r="B53" s="8" t="str">
        <x:v>DOC-0009</x:v>
      </x:c>
      <x:c r="C53" s="8" t="str">
        <x:v>Diamantino</x:v>
      </x:c>
      <x:c r="D53" s="8" t="str">
        <x:v>I</x:v>
      </x:c>
      <x:c r="E53" s="8" t="str">
        <x:v>PROJETOS DE VENDAS PARA OS FORNECEDORES INDIVIDUAIS</x:v>
      </x:c>
      <x:c r="F53" s="8" t="n">
        <x:v>28</x:v>
      </x:c>
      <x:c r="G53" s="8" t="str">
        <x:v>PNAE_MT_2025/05_DIAMANTINO/DOC-0009_DOC-0009.pdf</x:v>
      </x:c>
      <x:c r="H53" s="8" t="str">
        <x:v>Identificadores, instituições, produtos/quantidades, datas e assinaturas; confirmar por tipo.</x:v>
      </x:c>
      <x:c r="I53" s="8" t="str">
        <x:v>Cabeçalho extraído; estrutura preservada no PDF</x:v>
      </x:c>
    </x:row>
    <x:row r="54" ht="84" customHeight="1">
      <x:c r="A54" s="8" t="str">
        <x:v>ED-0009</x:v>
      </x:c>
      <x:c r="B54" s="8" t="str">
        <x:v>DOC-0009</x:v>
      </x:c>
      <x:c r="C54" s="8" t="str">
        <x:v>Diamantino</x:v>
      </x:c>
      <x:c r="D54" s="8" t="str">
        <x:v>II</x:v>
      </x:c>
      <x:c r="E54" s="8" t="str">
        <x:v>PROJETO DE VENDAS PARA OS GRUPOS INFORMAIS PROJETO DE VENDA DE GÊNEROS ALIMENTÍCIOS DA AGRICULTURA FAMILIAR PARA ALIMENTAÇÃO ESCOLAR/PNAE</x:v>
      </x:c>
      <x:c r="F54" s="8" t="n">
        <x:v>30</x:v>
      </x:c>
      <x:c r="G54" s="8" t="str">
        <x:v>PNAE_MT_2025/05_DIAMANTINO/DOC-0009_DOC-0009.pdf</x:v>
      </x:c>
      <x:c r="H54" s="8" t="str">
        <x:v>Identificadores, instituições, produtos/quantidades, datas e assinaturas; confirmar por tipo.</x:v>
      </x:c>
      <x:c r="I54" s="8" t="str">
        <x:v>Cabeçalho extraído; estrutura preservada no PDF</x:v>
      </x:c>
    </x:row>
    <x:row r="55" ht="84" customHeight="1">
      <x:c r="A55" s="8" t="str">
        <x:v>ED-0009</x:v>
      </x:c>
      <x:c r="B55" s="8" t="str">
        <x:v>DOC-0009</x:v>
      </x:c>
      <x:c r="C55" s="8" t="str">
        <x:v>Diamantino</x:v>
      </x:c>
      <x:c r="D55" s="8" t="str">
        <x:v>III</x:v>
      </x:c>
      <x:c r="E55" s="8" t="str">
        <x:v>PROJETO DE VENDAS PARA OS GRUPOS FORMAIS</x:v>
      </x:c>
      <x:c r="F55" s="8" t="n">
        <x:v>33</x:v>
      </x:c>
      <x:c r="G55" s="8" t="str">
        <x:v>PNAE_MT_2025/05_DIAMANTINO/DOC-0009_DOC-0009.pdf</x:v>
      </x:c>
      <x:c r="H55" s="8" t="str">
        <x:v>Identificadores, instituições, produtos/quantidades, datas e assinaturas; confirmar por tipo.</x:v>
      </x:c>
      <x:c r="I55" s="8" t="str">
        <x:v>Cabeçalho extraído; estrutura preservada no PDF</x:v>
      </x:c>
    </x:row>
    <x:row r="56" ht="84" customHeight="1">
      <x:c r="A56" s="8" t="str">
        <x:v>ED-0009</x:v>
      </x:c>
      <x:c r="B56" s="8" t="str">
        <x:v>DOC-0009</x:v>
      </x:c>
      <x:c r="C56" s="8" t="str">
        <x:v>Diamantino</x:v>
      </x:c>
      <x:c r="D56" s="8" t="str">
        <x:v>IV</x:v>
      </x:c>
      <x:c r="E56" s="8" t="str">
        <x:v>RELAÇÃO DAS UNIDADES ESCOLARES CONTEMPLADAS</x:v>
      </x:c>
      <x:c r="F56" s="8" t="n">
        <x:v>36</x:v>
      </x:c>
      <x:c r="G56" s="8" t="str">
        <x:v>PNAE_MT_2025/05_DIAMANTINO/DOC-0009_DOC-0009.pdf</x:v>
      </x:c>
      <x:c r="H56" s="8" t="str">
        <x:v>Identificadores, instituições, produtos/quantidades, datas e assinaturas; confirmar por tipo.</x:v>
      </x:c>
      <x:c r="I56" s="8" t="str">
        <x:v>Cabeçalho extraído; estrutura preservada no PDF</x:v>
      </x:c>
    </x:row>
    <x:row r="57" ht="84" customHeight="1">
      <x:c r="A57" s="8" t="str">
        <x:v>ED-0009</x:v>
      </x:c>
      <x:c r="B57" s="8" t="str">
        <x:v>DOC-0009</x:v>
      </x:c>
      <x:c r="C57" s="8" t="str">
        <x:v>Diamantino</x:v>
      </x:c>
      <x:c r="D57" s="8" t="str">
        <x:v>V</x:v>
      </x:c>
      <x:c r="E57" s="8" t="str">
        <x:v>RESULTADO DA CHAMADA PÚBLICA</x:v>
      </x:c>
      <x:c r="F57" s="8" t="n">
        <x:v>36</x:v>
      </x:c>
      <x:c r="G57" s="8" t="str">
        <x:v>PNAE_MT_2025/05_DIAMANTINO/DOC-0009_DOC-0009.pdf</x:v>
      </x:c>
      <x:c r="H57" s="8" t="str">
        <x:v>Identificadores, instituições, produtos/quantidades, datas e assinaturas; confirmar por tipo.</x:v>
      </x:c>
      <x:c r="I57" s="8" t="str">
        <x:v>Cabeçalho extraído; estrutura preservada no PDF</x:v>
      </x:c>
    </x:row>
    <x:row r="58" ht="84" customHeight="1">
      <x:c r="A58" s="8" t="str">
        <x:v>ED-0009</x:v>
      </x:c>
      <x:c r="B58" s="8" t="str">
        <x:v>DOC-0009</x:v>
      </x:c>
      <x:c r="C58" s="8" t="str">
        <x:v>Diamantino</x:v>
      </x:c>
      <x:c r="D58" s="8" t="str">
        <x:v>VI</x:v>
      </x:c>
      <x:c r="E58" s="8" t="str">
        <x:v>MINUTA TERMO DE CONTRATO Nº 0XX/202X/SEDUC/MT</x:v>
      </x:c>
      <x:c r="F58" s="8" t="n">
        <x:v>37</x:v>
      </x:c>
      <x:c r="G58" s="8" t="str">
        <x:v>PNAE_MT_2025/05_DIAMANTINO/DOC-0009_DOC-0009.pdf</x:v>
      </x:c>
      <x:c r="H58" s="8" t="str">
        <x:v>Identificadores, instituições, produtos/quantidades, datas e assinaturas; confirmar por tipo.</x:v>
      </x:c>
      <x:c r="I58" s="8" t="str">
        <x:v>Cabeçalho extraído; estrutura preservada no PDF</x:v>
      </x:c>
    </x:row>
    <x:row r="59" ht="84" customHeight="1">
      <x:c r="A59" s="8" t="str">
        <x:v>ED-0010</x:v>
      </x:c>
      <x:c r="B59" s="8" t="str">
        <x:v>DOC-0011</x:v>
      </x:c>
      <x:c r="C59" s="8" t="str">
        <x:v>Diamantino</x:v>
      </x:c>
      <x:c r="D59" s="8" t="str">
        <x:v>I</x:v>
      </x:c>
      <x:c r="E59" s="8" t="str">
        <x:v>PROJETOS DE VENDAS PARA OS FORNECEDORES INDIVIDUAIS</x:v>
      </x:c>
      <x:c r="F59" s="8" t="n">
        <x:v>31</x:v>
      </x:c>
      <x:c r="G59" s="8" t="str">
        <x:v>PNAE_MT_2025/05_DIAMANTINO/DOC-0011_DOC-0011.pdf</x:v>
      </x:c>
      <x:c r="H59" s="8" t="str">
        <x:v>Identificadores, instituições, produtos/quantidades, datas e assinaturas; confirmar por tipo.</x:v>
      </x:c>
      <x:c r="I59" s="8" t="str">
        <x:v>Cabeçalho extraído; estrutura preservada no PDF</x:v>
      </x:c>
    </x:row>
    <x:row r="60" ht="84" customHeight="1">
      <x:c r="A60" s="8" t="str">
        <x:v>ED-0010</x:v>
      </x:c>
      <x:c r="B60" s="8" t="str">
        <x:v>DOC-0011</x:v>
      </x:c>
      <x:c r="C60" s="8" t="str">
        <x:v>Diamantino</x:v>
      </x:c>
      <x:c r="D60" s="8" t="str">
        <x:v>II</x:v>
      </x:c>
      <x:c r="E60" s="8" t="str">
        <x:v>PROJETO DE VENDAS PARA OS GRUPOS INFORMAIS PROJETO DE VENDA DE GÊNEROS ALIMENTÍCIOS DA AGRICULTURA FAMILIAR PARA ALIMENTAÇÃO ESCOLAR/PNAE</x:v>
      </x:c>
      <x:c r="F60" s="8" t="n">
        <x:v>33</x:v>
      </x:c>
      <x:c r="G60" s="8" t="str">
        <x:v>PNAE_MT_2025/05_DIAMANTINO/DOC-0011_DOC-0011.pdf</x:v>
      </x:c>
      <x:c r="H60" s="8" t="str">
        <x:v>Identificadores, instituições, produtos/quantidades, datas e assinaturas; confirmar por tipo.</x:v>
      </x:c>
      <x:c r="I60" s="8" t="str">
        <x:v>Cabeçalho extraído; estrutura preservada no PDF</x:v>
      </x:c>
    </x:row>
    <x:row r="61" ht="84" customHeight="1">
      <x:c r="A61" s="8" t="str">
        <x:v>ED-0010</x:v>
      </x:c>
      <x:c r="B61" s="8" t="str">
        <x:v>DOC-0011</x:v>
      </x:c>
      <x:c r="C61" s="8" t="str">
        <x:v>Diamantino</x:v>
      </x:c>
      <x:c r="D61" s="8" t="str">
        <x:v>III</x:v>
      </x:c>
      <x:c r="E61" s="8" t="str">
        <x:v>PROJETO DE VENDAS PARA OS GRUPOS FORMAIS</x:v>
      </x:c>
      <x:c r="F61" s="8" t="n">
        <x:v>36</x:v>
      </x:c>
      <x:c r="G61" s="8" t="str">
        <x:v>PNAE_MT_2025/05_DIAMANTINO/DOC-0011_DOC-0011.pdf</x:v>
      </x:c>
      <x:c r="H61" s="8" t="str">
        <x:v>Identificadores, instituições, produtos/quantidades, datas e assinaturas; confirmar por tipo.</x:v>
      </x:c>
      <x:c r="I61" s="8" t="str">
        <x:v>Cabeçalho extraído; estrutura preservada no PDF</x:v>
      </x:c>
    </x:row>
    <x:row r="62" ht="84" customHeight="1">
      <x:c r="A62" s="8" t="str">
        <x:v>ED-0010</x:v>
      </x:c>
      <x:c r="B62" s="8" t="str">
        <x:v>DOC-0011</x:v>
      </x:c>
      <x:c r="C62" s="8" t="str">
        <x:v>Diamantino</x:v>
      </x:c>
      <x:c r="D62" s="8" t="str">
        <x:v>IV</x:v>
      </x:c>
      <x:c r="E62" s="8" t="str">
        <x:v>RELAÇÃO DAS UNIDADES ESCOLARES CONTEMPLADAS</x:v>
      </x:c>
      <x:c r="F62" s="8" t="n">
        <x:v>39</x:v>
      </x:c>
      <x:c r="G62" s="8" t="str">
        <x:v>PNAE_MT_2025/05_DIAMANTINO/DOC-0011_DOC-0011.pdf</x:v>
      </x:c>
      <x:c r="H62" s="8" t="str">
        <x:v>Identificadores, instituições, produtos/quantidades, datas e assinaturas; confirmar por tipo.</x:v>
      </x:c>
      <x:c r="I62" s="8" t="str">
        <x:v>Cabeçalho extraído; estrutura preservada no PDF</x:v>
      </x:c>
    </x:row>
    <x:row r="63" ht="84" customHeight="1">
      <x:c r="A63" s="8" t="str">
        <x:v>ED-0010</x:v>
      </x:c>
      <x:c r="B63" s="8" t="str">
        <x:v>DOC-0011</x:v>
      </x:c>
      <x:c r="C63" s="8" t="str">
        <x:v>Diamantino</x:v>
      </x:c>
      <x:c r="D63" s="8" t="str">
        <x:v>V</x:v>
      </x:c>
      <x:c r="E63" s="8" t="str">
        <x:v>RESULTADO DA CHAMADA PÚBLICA</x:v>
      </x:c>
      <x:c r="F63" s="8" t="n">
        <x:v>39</x:v>
      </x:c>
      <x:c r="G63" s="8" t="str">
        <x:v>PNAE_MT_2025/05_DIAMANTINO/DOC-0011_DOC-0011.pdf</x:v>
      </x:c>
      <x:c r="H63" s="8" t="str">
        <x:v>Identificadores, instituições, produtos/quantidades, datas e assinaturas; confirmar por tipo.</x:v>
      </x:c>
      <x:c r="I63" s="8" t="str">
        <x:v>Cabeçalho extraído; estrutura preservada no PDF</x:v>
      </x:c>
    </x:row>
    <x:row r="64" ht="84" customHeight="1">
      <x:c r="A64" s="8" t="str">
        <x:v>ED-0010</x:v>
      </x:c>
      <x:c r="B64" s="8" t="str">
        <x:v>DOC-0011</x:v>
      </x:c>
      <x:c r="C64" s="8" t="str">
        <x:v>Diamantino</x:v>
      </x:c>
      <x:c r="D64" s="8" t="str">
        <x:v>VI</x:v>
      </x:c>
      <x:c r="E64" s="8" t="str">
        <x:v>MINUTA TERMO DE CONTRATO Nº 0XX/202X/SEDUC/MT</x:v>
      </x:c>
      <x:c r="F64" s="8" t="n">
        <x:v>40</x:v>
      </x:c>
      <x:c r="G64" s="8" t="str">
        <x:v>PNAE_MT_2025/05_DIAMANTINO/DOC-0011_DOC-0011.pdf</x:v>
      </x:c>
      <x:c r="H64" s="8" t="str">
        <x:v>Identificadores, instituições, produtos/quantidades, datas e assinaturas; confirmar por tipo.</x:v>
      </x:c>
      <x:c r="I64" s="8" t="str">
        <x:v>Cabeçalho extraído; estrutura preservada no PDF</x:v>
      </x:c>
    </x:row>
    <x:row r="65" ht="84" customHeight="1">
      <x:c r="A65" s="8" t="str">
        <x:v>ED-0011</x:v>
      </x:c>
      <x:c r="B65" s="8" t="str">
        <x:v>DOC-0012</x:v>
      </x:c>
      <x:c r="C65" s="8" t="str">
        <x:v>Diamantino</x:v>
      </x:c>
      <x:c r="D65" s="8" t="str">
        <x:v>I</x:v>
      </x:c>
      <x:c r="E65" s="8" t="str">
        <x:v>28</x:v>
      </x:c>
      <x:c r="F65" s="8" t="n">
        <x:v>28</x:v>
      </x:c>
      <x:c r="G65" s="8" t="str">
        <x:v>PNAE_MT_2025/05_DIAMANTINO/DOC-0012_DOC-0012.pdf</x:v>
      </x:c>
      <x:c r="H65" s="8" t="str">
        <x:v>Identificadores, instituições, produtos/quantidades, datas e assinaturas; confirmar por tipo.</x:v>
      </x:c>
      <x:c r="I65" s="8" t="str">
        <x:v>Cabeçalho extraído; estrutura preservada no PDF</x:v>
      </x:c>
    </x:row>
    <x:row r="66" ht="84" customHeight="1">
      <x:c r="A66" s="8" t="str">
        <x:v>ED-0011</x:v>
      </x:c>
      <x:c r="B66" s="8" t="str">
        <x:v>DOC-0012</x:v>
      </x:c>
      <x:c r="C66" s="8" t="str">
        <x:v>Diamantino</x:v>
      </x:c>
      <x:c r="D66" s="8" t="str">
        <x:v>II</x:v>
      </x:c>
      <x:c r="E66" s="8" t="str">
        <x:v>PROJETO DE VENDAS PARA OS GRUPOS INFORMAIS PROJETO DE VENDA DE GÊNEROS ALIMENTÍCIOS DA AGRICULTURA FAMILIAR PARA ALIMENTAÇÃO ESCOLAR/PNAE</x:v>
      </x:c>
      <x:c r="F66" s="8" t="n">
        <x:v>31</x:v>
      </x:c>
      <x:c r="G66" s="8" t="str">
        <x:v>PNAE_MT_2025/05_DIAMANTINO/DOC-0012_DOC-0012.pdf</x:v>
      </x:c>
      <x:c r="H66" s="8" t="str">
        <x:v>Identificadores, instituições, produtos/quantidades, datas e assinaturas; confirmar por tipo.</x:v>
      </x:c>
      <x:c r="I66" s="8" t="str">
        <x:v>Cabeçalho extraído; estrutura preservada no PDF</x:v>
      </x:c>
    </x:row>
    <x:row r="67" ht="84" customHeight="1">
      <x:c r="A67" s="8" t="str">
        <x:v>ED-0011</x:v>
      </x:c>
      <x:c r="B67" s="8" t="str">
        <x:v>DOC-0012</x:v>
      </x:c>
      <x:c r="C67" s="8" t="str">
        <x:v>Diamantino</x:v>
      </x:c>
      <x:c r="D67" s="8" t="str">
        <x:v>III</x:v>
      </x:c>
      <x:c r="E67" s="8" t="str">
        <x:v>PROJETO DE VENDAS PARA OS GRUPOS FORMAIS</x:v>
      </x:c>
      <x:c r="F67" s="8" t="n">
        <x:v>34</x:v>
      </x:c>
      <x:c r="G67" s="8" t="str">
        <x:v>PNAE_MT_2025/05_DIAMANTINO/DOC-0012_DOC-0012.pdf</x:v>
      </x:c>
      <x:c r="H67" s="8" t="str">
        <x:v>Identificadores, instituições, produtos/quantidades, datas e assinaturas; confirmar por tipo.</x:v>
      </x:c>
      <x:c r="I67" s="8" t="str">
        <x:v>Cabeçalho extraído; estrutura preservada no PDF</x:v>
      </x:c>
    </x:row>
    <x:row r="68" ht="84" customHeight="1">
      <x:c r="A68" s="8" t="str">
        <x:v>ED-0011</x:v>
      </x:c>
      <x:c r="B68" s="8" t="str">
        <x:v>DOC-0012</x:v>
      </x:c>
      <x:c r="C68" s="8" t="str">
        <x:v>Diamantino</x:v>
      </x:c>
      <x:c r="D68" s="8" t="str">
        <x:v>IV</x:v>
      </x:c>
      <x:c r="E68" s="8" t="str">
        <x:v>RELAÇÃO DAS UNIDADES ESCOLARES CONTEMPLADAS</x:v>
      </x:c>
      <x:c r="F68" s="8" t="n">
        <x:v>37</x:v>
      </x:c>
      <x:c r="G68" s="8" t="str">
        <x:v>PNAE_MT_2025/05_DIAMANTINO/DOC-0012_DOC-0012.pdf</x:v>
      </x:c>
      <x:c r="H68" s="8" t="str">
        <x:v>Identificadores, instituições, produtos/quantidades, datas e assinaturas; confirmar por tipo.</x:v>
      </x:c>
      <x:c r="I68" s="8" t="str">
        <x:v>Cabeçalho extraído; estrutura preservada no PDF</x:v>
      </x:c>
    </x:row>
    <x:row r="69" ht="84" customHeight="1">
      <x:c r="A69" s="8" t="str">
        <x:v>ED-0011</x:v>
      </x:c>
      <x:c r="B69" s="8" t="str">
        <x:v>DOC-0012</x:v>
      </x:c>
      <x:c r="C69" s="8" t="str">
        <x:v>Diamantino</x:v>
      </x:c>
      <x:c r="D69" s="8" t="str">
        <x:v>V</x:v>
      </x:c>
      <x:c r="E69" s="8" t="str">
        <x:v>RESULTADO DA CHAMADA PÚBLICA</x:v>
      </x:c>
      <x:c r="F69" s="8" t="n">
        <x:v>38</x:v>
      </x:c>
      <x:c r="G69" s="8" t="str">
        <x:v>PNAE_MT_2025/05_DIAMANTINO/DOC-0012_DOC-0012.pdf</x:v>
      </x:c>
      <x:c r="H69" s="8" t="str">
        <x:v>Identificadores, instituições, produtos/quantidades, datas e assinaturas; confirmar por tipo.</x:v>
      </x:c>
      <x:c r="I69" s="8" t="str">
        <x:v>Cabeçalho extraído; estrutura preservada no PDF</x:v>
      </x:c>
    </x:row>
    <x:row r="70" ht="84" customHeight="1">
      <x:c r="A70" s="8" t="str">
        <x:v>ED-0011</x:v>
      </x:c>
      <x:c r="B70" s="8" t="str">
        <x:v>DOC-0012</x:v>
      </x:c>
      <x:c r="C70" s="8" t="str">
        <x:v>Diamantino</x:v>
      </x:c>
      <x:c r="D70" s="8" t="str">
        <x:v>VI</x:v>
      </x:c>
      <x:c r="E70" s="8" t="str">
        <x:v>MINUTA TERMO DE CONTRATO Nº 0XX/202X/SEDUC/MT</x:v>
      </x:c>
      <x:c r="F70" s="8" t="n">
        <x:v>39</x:v>
      </x:c>
      <x:c r="G70" s="8" t="str">
        <x:v>PNAE_MT_2025/05_DIAMANTINO/DOC-0012_DOC-0012.pdf</x:v>
      </x:c>
      <x:c r="H70" s="8" t="str">
        <x:v>Identificadores, instituições, produtos/quantidades, datas e assinaturas; confirmar por tipo.</x:v>
      </x:c>
      <x:c r="I70" s="8" t="str">
        <x:v>Cabeçalho extraído; estrutura preservada no PDF</x:v>
      </x:c>
    </x:row>
    <x:row r="71" ht="84" customHeight="1">
      <x:c r="A71" s="8" t="str">
        <x:v>ED-0012</x:v>
      </x:c>
      <x:c r="B71" s="8" t="str">
        <x:v>DOC-0013</x:v>
      </x:c>
      <x:c r="C71" s="8" t="str">
        <x:v>Diamantino</x:v>
      </x:c>
      <x:c r="D71" s="8" t="str">
        <x:v>I</x:v>
      </x:c>
      <x:c r="E71" s="8" t="str">
        <x:v>30</x:v>
      </x:c>
      <x:c r="F71" s="8" t="n">
        <x:v>30</x:v>
      </x:c>
      <x:c r="G71" s="8" t="str">
        <x:v>PNAE_MT_2025/05_DIAMANTINO/DOC-0013_DOC-0013.pdf</x:v>
      </x:c>
      <x:c r="H71" s="8" t="str">
        <x:v>Identificadores, instituições, produtos/quantidades, datas e assinaturas; confirmar por tipo.</x:v>
      </x:c>
      <x:c r="I71" s="8" t="str">
        <x:v>Cabeçalho extraído; estrutura preservada no PDF</x:v>
      </x:c>
    </x:row>
    <x:row r="72" ht="84" customHeight="1">
      <x:c r="A72" s="8" t="str">
        <x:v>ED-0012</x:v>
      </x:c>
      <x:c r="B72" s="8" t="str">
        <x:v>DOC-0013</x:v>
      </x:c>
      <x:c r="C72" s="8" t="str">
        <x:v>Diamantino</x:v>
      </x:c>
      <x:c r="D72" s="8" t="str">
        <x:v>II</x:v>
      </x:c>
      <x:c r="E72" s="8" t="str">
        <x:v>PROJETO DE VENDAS PARA OS GRUPOS INFORMAIS PROJETO DE VENDA DE GÊNEROS ALIMENTÍCIOS DA AGRICULTURA FAMILIAR PARA ALIMENTAÇÃO ESCOLAR/PNAE</x:v>
      </x:c>
      <x:c r="F72" s="8" t="n">
        <x:v>33</x:v>
      </x:c>
      <x:c r="G72" s="8" t="str">
        <x:v>PNAE_MT_2025/05_DIAMANTINO/DOC-0013_DOC-0013.pdf</x:v>
      </x:c>
      <x:c r="H72" s="8" t="str">
        <x:v>Identificadores, instituições, produtos/quantidades, datas e assinaturas; confirmar por tipo.</x:v>
      </x:c>
      <x:c r="I72" s="8" t="str">
        <x:v>Cabeçalho extraído; estrutura preservada no PDF</x:v>
      </x:c>
    </x:row>
    <x:row r="73" ht="84" customHeight="1">
      <x:c r="A73" s="8" t="str">
        <x:v>ED-0012</x:v>
      </x:c>
      <x:c r="B73" s="8" t="str">
        <x:v>DOC-0013</x:v>
      </x:c>
      <x:c r="C73" s="8" t="str">
        <x:v>Diamantino</x:v>
      </x:c>
      <x:c r="D73" s="8" t="str">
        <x:v>III</x:v>
      </x:c>
      <x:c r="E73" s="8" t="str">
        <x:v>PROJETO DE VENDAS PARA OS GRUPOS FORMAIS</x:v>
      </x:c>
      <x:c r="F73" s="8" t="n">
        <x:v>36</x:v>
      </x:c>
      <x:c r="G73" s="8" t="str">
        <x:v>PNAE_MT_2025/05_DIAMANTINO/DOC-0013_DOC-0013.pdf</x:v>
      </x:c>
      <x:c r="H73" s="8" t="str">
        <x:v>Identificadores, instituições, produtos/quantidades, datas e assinaturas; confirmar por tipo.</x:v>
      </x:c>
      <x:c r="I73" s="8" t="str">
        <x:v>Cabeçalho extraído; estrutura preservada no PDF</x:v>
      </x:c>
    </x:row>
    <x:row r="74" ht="84" customHeight="1">
      <x:c r="A74" s="8" t="str">
        <x:v>ED-0012</x:v>
      </x:c>
      <x:c r="B74" s="8" t="str">
        <x:v>DOC-0013</x:v>
      </x:c>
      <x:c r="C74" s="8" t="str">
        <x:v>Diamantino</x:v>
      </x:c>
      <x:c r="D74" s="8" t="str">
        <x:v>IV</x:v>
      </x:c>
      <x:c r="E74" s="8" t="str">
        <x:v>RELAÇÃO DAS UNIDADES ESCOLARES CONTEMPLADAS</x:v>
      </x:c>
      <x:c r="F74" s="8" t="n">
        <x:v>39</x:v>
      </x:c>
      <x:c r="G74" s="8" t="str">
        <x:v>PNAE_MT_2025/05_DIAMANTINO/DOC-0013_DOC-0013.pdf</x:v>
      </x:c>
      <x:c r="H74" s="8" t="str">
        <x:v>Identificadores, instituições, produtos/quantidades, datas e assinaturas; confirmar por tipo.</x:v>
      </x:c>
      <x:c r="I74" s="8" t="str">
        <x:v>Cabeçalho extraído; estrutura preservada no PDF</x:v>
      </x:c>
    </x:row>
    <x:row r="75" ht="84" customHeight="1">
      <x:c r="A75" s="8" t="str">
        <x:v>ED-0012</x:v>
      </x:c>
      <x:c r="B75" s="8" t="str">
        <x:v>DOC-0013</x:v>
      </x:c>
      <x:c r="C75" s="8" t="str">
        <x:v>Diamantino</x:v>
      </x:c>
      <x:c r="D75" s="8" t="str">
        <x:v>V</x:v>
      </x:c>
      <x:c r="E75" s="8" t="str">
        <x:v>RESULTADO DA CHAMADA PÚBLICA</x:v>
      </x:c>
      <x:c r="F75" s="8" t="n">
        <x:v>40</x:v>
      </x:c>
      <x:c r="G75" s="8" t="str">
        <x:v>PNAE_MT_2025/05_DIAMANTINO/DOC-0013_DOC-0013.pdf</x:v>
      </x:c>
      <x:c r="H75" s="8" t="str">
        <x:v>Identificadores, instituições, produtos/quantidades, datas e assinaturas; confirmar por tipo.</x:v>
      </x:c>
      <x:c r="I75" s="8" t="str">
        <x:v>Cabeçalho extraído; estrutura preservada no PDF</x:v>
      </x:c>
    </x:row>
    <x:row r="76" ht="84" customHeight="1">
      <x:c r="A76" s="8" t="str">
        <x:v>ED-0012</x:v>
      </x:c>
      <x:c r="B76" s="8" t="str">
        <x:v>DOC-0013</x:v>
      </x:c>
      <x:c r="C76" s="8" t="str">
        <x:v>Diamantino</x:v>
      </x:c>
      <x:c r="D76" s="8" t="str">
        <x:v>VI</x:v>
      </x:c>
      <x:c r="E76" s="8" t="str">
        <x:v>MINUTA TERMO DE CONTRATO Nº 0XX/202X/SEDUC/MT</x:v>
      </x:c>
      <x:c r="F76" s="8" t="n">
        <x:v>41</x:v>
      </x:c>
      <x:c r="G76" s="8" t="str">
        <x:v>PNAE_MT_2025/05_DIAMANTINO/DOC-0013_DOC-0013.pdf</x:v>
      </x:c>
      <x:c r="H76" s="8" t="str">
        <x:v>Identificadores, instituições, produtos/quantidades, datas e assinaturas; confirmar por tipo.</x:v>
      </x:c>
      <x:c r="I76" s="8" t="str">
        <x:v>Cabeçalho extraído; estrutura preservada no PDF</x:v>
      </x:c>
    </x:row>
    <x:row r="77" ht="84" customHeight="1">
      <x:c r="A77" s="8" t="str">
        <x:v>ED-0013</x:v>
      </x:c>
      <x:c r="B77" s="8" t="str">
        <x:v>DOC-0014</x:v>
      </x:c>
      <x:c r="C77" s="8" t="str">
        <x:v>Diamantino</x:v>
      </x:c>
      <x:c r="D77" s="8" t="str">
        <x:v>I</x:v>
      </x:c>
      <x:c r="E77" s="8" t="str">
        <x:v>PROJETOS DE VENDAS PARA OS FORNECEDORES INDIVIDUAIS</x:v>
      </x:c>
      <x:c r="F77" s="8" t="n">
        <x:v>30</x:v>
      </x:c>
      <x:c r="G77" s="8" t="str">
        <x:v>PNAE_MT_2025/05_DIAMANTINO/DOC-0014_DOC-0014.pdf</x:v>
      </x:c>
      <x:c r="H77" s="8" t="str">
        <x:v>Identificadores, instituições, produtos/quantidades, datas e assinaturas; confirmar por tipo.</x:v>
      </x:c>
      <x:c r="I77" s="8" t="str">
        <x:v>Cabeçalho extraído; estrutura preservada no PDF</x:v>
      </x:c>
    </x:row>
    <x:row r="78" ht="84" customHeight="1">
      <x:c r="A78" s="8" t="str">
        <x:v>ED-0013</x:v>
      </x:c>
      <x:c r="B78" s="8" t="str">
        <x:v>DOC-0014</x:v>
      </x:c>
      <x:c r="C78" s="8" t="str">
        <x:v>Diamantino</x:v>
      </x:c>
      <x:c r="D78" s="8" t="str">
        <x:v>II</x:v>
      </x:c>
      <x:c r="E78" s="8" t="str">
        <x:v>PROJETO DE VENDAS PARA OS GRUPOS INFORMAIS PROJETO DE VENDA DE GÊNEROS ALIMENTÍCIOS DA AGRICULTURA FAMILIAR PARA ALIMENTAÇÃO ESCOLAR/PNAE</x:v>
      </x:c>
      <x:c r="F78" s="8" t="n">
        <x:v>32</x:v>
      </x:c>
      <x:c r="G78" s="8" t="str">
        <x:v>PNAE_MT_2025/05_DIAMANTINO/DOC-0014_DOC-0014.pdf</x:v>
      </x:c>
      <x:c r="H78" s="8" t="str">
        <x:v>Identificadores, instituições, produtos/quantidades, datas e assinaturas; confirmar por tipo.</x:v>
      </x:c>
      <x:c r="I78" s="8" t="str">
        <x:v>Cabeçalho extraído; estrutura preservada no PDF</x:v>
      </x:c>
    </x:row>
    <x:row r="79" ht="84" customHeight="1">
      <x:c r="A79" s="8" t="str">
        <x:v>ED-0013</x:v>
      </x:c>
      <x:c r="B79" s="8" t="str">
        <x:v>DOC-0014</x:v>
      </x:c>
      <x:c r="C79" s="8" t="str">
        <x:v>Diamantino</x:v>
      </x:c>
      <x:c r="D79" s="8" t="str">
        <x:v>III</x:v>
      </x:c>
      <x:c r="E79" s="8" t="str">
        <x:v>PROJETO DE VENDAS PARA OS GRUPOS FORMAIS</x:v>
      </x:c>
      <x:c r="F79" s="8" t="n">
        <x:v>34</x:v>
      </x:c>
      <x:c r="G79" s="8" t="str">
        <x:v>PNAE_MT_2025/05_DIAMANTINO/DOC-0014_DOC-0014.pdf</x:v>
      </x:c>
      <x:c r="H79" s="8" t="str">
        <x:v>Identificadores, instituições, produtos/quantidades, datas e assinaturas; confirmar por tipo.</x:v>
      </x:c>
      <x:c r="I79" s="8" t="str">
        <x:v>Cabeçalho extraído; estrutura preservada no PDF</x:v>
      </x:c>
    </x:row>
    <x:row r="80" ht="84" customHeight="1">
      <x:c r="A80" s="8" t="str">
        <x:v>ED-0013</x:v>
      </x:c>
      <x:c r="B80" s="8" t="str">
        <x:v>DOC-0014</x:v>
      </x:c>
      <x:c r="C80" s="8" t="str">
        <x:v>Diamantino</x:v>
      </x:c>
      <x:c r="D80" s="8" t="str">
        <x:v>IV</x:v>
      </x:c>
      <x:c r="E80" s="8" t="str">
        <x:v>RELAÇÃO DAS UNIDADES ESCOLARES CONTEMPLADAS</x:v>
      </x:c>
      <x:c r="F80" s="8" t="n">
        <x:v>36</x:v>
      </x:c>
      <x:c r="G80" s="8" t="str">
        <x:v>PNAE_MT_2025/05_DIAMANTINO/DOC-0014_DOC-0014.pdf</x:v>
      </x:c>
      <x:c r="H80" s="8" t="str">
        <x:v>Identificadores, instituições, produtos/quantidades, datas e assinaturas; confirmar por tipo.</x:v>
      </x:c>
      <x:c r="I80" s="8" t="str">
        <x:v>Cabeçalho extraído; estrutura preservada no PDF</x:v>
      </x:c>
    </x:row>
    <x:row r="81" ht="84" customHeight="1">
      <x:c r="A81" s="8" t="str">
        <x:v>ED-0013</x:v>
      </x:c>
      <x:c r="B81" s="8" t="str">
        <x:v>DOC-0014</x:v>
      </x:c>
      <x:c r="C81" s="8" t="str">
        <x:v>Diamantino</x:v>
      </x:c>
      <x:c r="D81" s="8" t="str">
        <x:v>V</x:v>
      </x:c>
      <x:c r="E81" s="8" t="str">
        <x:v>RESULTADO DA CHAMADA PÚBLICA</x:v>
      </x:c>
      <x:c r="F81" s="8" t="n">
        <x:v>36</x:v>
      </x:c>
      <x:c r="G81" s="8" t="str">
        <x:v>PNAE_MT_2025/05_DIAMANTINO/DOC-0014_DOC-0014.pdf</x:v>
      </x:c>
      <x:c r="H81" s="8" t="str">
        <x:v>Identificadores, instituições, produtos/quantidades, datas e assinaturas; confirmar por tipo.</x:v>
      </x:c>
      <x:c r="I81" s="8" t="str">
        <x:v>Cabeçalho extraído; estrutura preservada no PDF</x:v>
      </x:c>
    </x:row>
    <x:row r="82" ht="84" customHeight="1">
      <x:c r="A82" s="8" t="str">
        <x:v>ED-0013</x:v>
      </x:c>
      <x:c r="B82" s="8" t="str">
        <x:v>DOC-0014</x:v>
      </x:c>
      <x:c r="C82" s="8" t="str">
        <x:v>Diamantino</x:v>
      </x:c>
      <x:c r="D82" s="8" t="str">
        <x:v>VI</x:v>
      </x:c>
      <x:c r="E82" s="8" t="str">
        <x:v>MINUTA TERMO DE CONTRATO Nº 0XX/202X/SEDUC/MT</x:v>
      </x:c>
      <x:c r="F82" s="8" t="n">
        <x:v>37</x:v>
      </x:c>
      <x:c r="G82" s="8" t="str">
        <x:v>PNAE_MT_2025/05_DIAMANTINO/DOC-0014_DOC-0014.pdf</x:v>
      </x:c>
      <x:c r="H82" s="8" t="str">
        <x:v>Identificadores, instituições, produtos/quantidades, datas e assinaturas; confirmar por tipo.</x:v>
      </x:c>
      <x:c r="I82" s="8" t="str">
        <x:v>Cabeçalho extraído; estrutura preservada no PDF</x:v>
      </x:c>
    </x:row>
    <x:row r="83" ht="84" customHeight="1">
      <x:c r="A83" s="8" t="str">
        <x:v>ED-0014</x:v>
      </x:c>
      <x:c r="B83" s="8" t="str">
        <x:v>DOC-0015</x:v>
      </x:c>
      <x:c r="C83" s="8" t="str">
        <x:v>Diamantino</x:v>
      </x:c>
      <x:c r="D83" s="8" t="str">
        <x:v>I</x:v>
      </x:c>
      <x:c r="E83" s="8" t="str">
        <x:v>29</x:v>
      </x:c>
      <x:c r="F83" s="8" t="n">
        <x:v>29</x:v>
      </x:c>
      <x:c r="G83" s="8" t="str">
        <x:v>PNAE_MT_2025/05_DIAMANTINO/DOC-0015_DOC-0015.pdf</x:v>
      </x:c>
      <x:c r="H83" s="8" t="str">
        <x:v>Identificadores, instituições, produtos/quantidades, datas e assinaturas; confirmar por tipo.</x:v>
      </x:c>
      <x:c r="I83" s="8" t="str">
        <x:v>Cabeçalho extraído; estrutura preservada no PDF</x:v>
      </x:c>
    </x:row>
    <x:row r="84" ht="84" customHeight="1">
      <x:c r="A84" s="8" t="str">
        <x:v>ED-0014</x:v>
      </x:c>
      <x:c r="B84" s="8" t="str">
        <x:v>DOC-0015</x:v>
      </x:c>
      <x:c r="C84" s="8" t="str">
        <x:v>Diamantino</x:v>
      </x:c>
      <x:c r="D84" s="8" t="str">
        <x:v>II</x:v>
      </x:c>
      <x:c r="E84" s="8" t="str">
        <x:v>PROJETO DE VENDAS PARA OS GRUPOS INFORMAIS PROJETO DE VENDA DE GÊNEROS ALIMENTÍCIOS DA AGRICULTURA FAMILIAR PARA ALIMENTAÇÃO ESCOLAR/PNAE</x:v>
      </x:c>
      <x:c r="F84" s="8" t="n">
        <x:v>32</x:v>
      </x:c>
      <x:c r="G84" s="8" t="str">
        <x:v>PNAE_MT_2025/05_DIAMANTINO/DOC-0015_DOC-0015.pdf</x:v>
      </x:c>
      <x:c r="H84" s="8" t="str">
        <x:v>Identificadores, instituições, produtos/quantidades, datas e assinaturas; confirmar por tipo.</x:v>
      </x:c>
      <x:c r="I84" s="8" t="str">
        <x:v>Cabeçalho extraído; estrutura preservada no PDF</x:v>
      </x:c>
    </x:row>
    <x:row r="85" ht="84" customHeight="1">
      <x:c r="A85" s="8" t="str">
        <x:v>ED-0014</x:v>
      </x:c>
      <x:c r="B85" s="8" t="str">
        <x:v>DOC-0015</x:v>
      </x:c>
      <x:c r="C85" s="8" t="str">
        <x:v>Diamantino</x:v>
      </x:c>
      <x:c r="D85" s="8" t="str">
        <x:v>III</x:v>
      </x:c>
      <x:c r="E85" s="8" t="str">
        <x:v>PROJETO DE VENDAS PARA OS GRUPOS FORMAIS</x:v>
      </x:c>
      <x:c r="F85" s="8" t="n">
        <x:v>35</x:v>
      </x:c>
      <x:c r="G85" s="8" t="str">
        <x:v>PNAE_MT_2025/05_DIAMANTINO/DOC-0015_DOC-0015.pdf</x:v>
      </x:c>
      <x:c r="H85" s="8" t="str">
        <x:v>Identificadores, instituições, produtos/quantidades, datas e assinaturas; confirmar por tipo.</x:v>
      </x:c>
      <x:c r="I85" s="8" t="str">
        <x:v>Cabeçalho extraído; estrutura preservada no PDF</x:v>
      </x:c>
    </x:row>
    <x:row r="86" ht="84" customHeight="1">
      <x:c r="A86" s="8" t="str">
        <x:v>ED-0014</x:v>
      </x:c>
      <x:c r="B86" s="8" t="str">
        <x:v>DOC-0015</x:v>
      </x:c>
      <x:c r="C86" s="8" t="str">
        <x:v>Diamantino</x:v>
      </x:c>
      <x:c r="D86" s="8" t="str">
        <x:v>IV</x:v>
      </x:c>
      <x:c r="E86" s="8" t="str">
        <x:v>RELAÇÃO DAS UNIDADES ESCOLARES CONTEMPLADAS</x:v>
      </x:c>
      <x:c r="F86" s="8" t="n">
        <x:v>38</x:v>
      </x:c>
      <x:c r="G86" s="8" t="str">
        <x:v>PNAE_MT_2025/05_DIAMANTINO/DOC-0015_DOC-0015.pdf</x:v>
      </x:c>
      <x:c r="H86" s="8" t="str">
        <x:v>Identificadores, instituições, produtos/quantidades, datas e assinaturas; confirmar por tipo.</x:v>
      </x:c>
      <x:c r="I86" s="8" t="str">
        <x:v>Cabeçalho extraído; estrutura preservada no PDF</x:v>
      </x:c>
    </x:row>
    <x:row r="87" ht="84" customHeight="1">
      <x:c r="A87" s="8" t="str">
        <x:v>ED-0014</x:v>
      </x:c>
      <x:c r="B87" s="8" t="str">
        <x:v>DOC-0015</x:v>
      </x:c>
      <x:c r="C87" s="8" t="str">
        <x:v>Diamantino</x:v>
      </x:c>
      <x:c r="D87" s="8" t="str">
        <x:v>V</x:v>
      </x:c>
      <x:c r="E87" s="8" t="str">
        <x:v>RESULTADO DA CHAMADA PÚBLICA</x:v>
      </x:c>
      <x:c r="F87" s="8" t="n">
        <x:v>38</x:v>
      </x:c>
      <x:c r="G87" s="8" t="str">
        <x:v>PNAE_MT_2025/05_DIAMANTINO/DOC-0015_DOC-0015.pdf</x:v>
      </x:c>
      <x:c r="H87" s="8" t="str">
        <x:v>Identificadores, instituições, produtos/quantidades, datas e assinaturas; confirmar por tipo.</x:v>
      </x:c>
      <x:c r="I87" s="8" t="str">
        <x:v>Cabeçalho extraído; estrutura preservada no PDF</x:v>
      </x:c>
    </x:row>
    <x:row r="88" ht="84" customHeight="1">
      <x:c r="A88" s="8" t="str">
        <x:v>ED-0014</x:v>
      </x:c>
      <x:c r="B88" s="8" t="str">
        <x:v>DOC-0015</x:v>
      </x:c>
      <x:c r="C88" s="8" t="str">
        <x:v>Diamantino</x:v>
      </x:c>
      <x:c r="D88" s="8" t="str">
        <x:v>VI</x:v>
      </x:c>
      <x:c r="E88" s="8" t="str">
        <x:v>MINUTA TERMO DE CONTRATO Nº 0XX/202X/SEDUC/MT</x:v>
      </x:c>
      <x:c r="F88" s="8" t="n">
        <x:v>39</x:v>
      </x:c>
      <x:c r="G88" s="8" t="str">
        <x:v>PNAE_MT_2025/05_DIAMANTINO/DOC-0015_DOC-0015.pdf</x:v>
      </x:c>
      <x:c r="H88" s="8" t="str">
        <x:v>Identificadores, instituições, produtos/quantidades, datas e assinaturas; confirmar por tipo.</x:v>
      </x:c>
      <x:c r="I88" s="8" t="str">
        <x:v>Cabeçalho extraído; estrutura preservada no PDF</x:v>
      </x:c>
    </x:row>
    <x:row r="89" ht="84" customHeight="1">
      <x:c r="A89" s="8" t="str">
        <x:v>ED-0015</x:v>
      </x:c>
      <x:c r="B89" s="8" t="str">
        <x:v>DOC-0016</x:v>
      </x:c>
      <x:c r="C89" s="8" t="str">
        <x:v>Juína</x:v>
      </x:c>
      <x:c r="D89" s="8" t="str">
        <x:v>I</x:v>
      </x:c>
      <x:c r="E89" s="8" t="str">
        <x:v>PROJETOS DE VENDAS PARA OS FORNECEDORES INDIVIDUAIS</x:v>
      </x:c>
      <x:c r="F89" s="8" t="n">
        <x:v>52</x:v>
      </x:c>
      <x:c r="G89" s="8" t="str">
        <x:v>PNAE_MT_2025/06_JUINA/DOC-0016_castanheiraedital--chamada-pUblica-2025docx-PO0m.pdf</x:v>
      </x:c>
      <x:c r="H89" s="8" t="str">
        <x:v>Identificadores, instituições, produtos/quantidades, datas e assinaturas; confirmar por tipo.</x:v>
      </x:c>
      <x:c r="I89" s="8" t="str">
        <x:v>Cabeçalho extraído; estrutura preservada no PDF</x:v>
      </x:c>
    </x:row>
    <x:row r="90" ht="84" customHeight="1">
      <x:c r="A90" s="8" t="str">
        <x:v>ED-0015</x:v>
      </x:c>
      <x:c r="B90" s="8" t="str">
        <x:v>DOC-0016</x:v>
      </x:c>
      <x:c r="C90" s="8" t="str">
        <x:v>Juína</x:v>
      </x:c>
      <x:c r="D90" s="8" t="str">
        <x:v>II</x:v>
      </x:c>
      <x:c r="E90" s="8" t="str">
        <x:v>PROJETO DE VENDAS PARA OS GRUPOS INFORMAIS PROJETO DE VENDA DE GÊNEROS ALIMENTÍCIOS DA AGRICULTURA FAMILIAR PARA ALIMENTAÇÃO ESCOLAR/PNAE</x:v>
      </x:c>
      <x:c r="F90" s="8" t="n">
        <x:v>55</x:v>
      </x:c>
      <x:c r="G90" s="8" t="str">
        <x:v>PNAE_MT_2025/06_JUINA/DOC-0016_castanheiraedital--chamada-pUblica-2025docx-PO0m.pdf</x:v>
      </x:c>
      <x:c r="H90" s="8" t="str">
        <x:v>Identificadores, instituições, produtos/quantidades, datas e assinaturas; confirmar por tipo.</x:v>
      </x:c>
      <x:c r="I90" s="8" t="str">
        <x:v>Cabeçalho extraído; estrutura preservada no PDF</x:v>
      </x:c>
    </x:row>
    <x:row r="91" ht="84" customHeight="1">
      <x:c r="A91" s="8" t="str">
        <x:v>ED-0015</x:v>
      </x:c>
      <x:c r="B91" s="8" t="str">
        <x:v>DOC-0016</x:v>
      </x:c>
      <x:c r="C91" s="8" t="str">
        <x:v>Juína</x:v>
      </x:c>
      <x:c r="D91" s="8" t="str">
        <x:v>III</x:v>
      </x:c>
      <x:c r="E91" s="8" t="str">
        <x:v>PROJETO DE VENDAS PARA OS GRUPOS FORMAIS</x:v>
      </x:c>
      <x:c r="F91" s="8" t="n">
        <x:v>56</x:v>
      </x:c>
      <x:c r="G91" s="8" t="str">
        <x:v>PNAE_MT_2025/06_JUINA/DOC-0016_castanheiraedital--chamada-pUblica-2025docx-PO0m.pdf</x:v>
      </x:c>
      <x:c r="H91" s="8" t="str">
        <x:v>Identificadores, instituições, produtos/quantidades, datas e assinaturas; confirmar por tipo.</x:v>
      </x:c>
      <x:c r="I91" s="8" t="str">
        <x:v>Cabeçalho extraído; estrutura preservada no PDF</x:v>
      </x:c>
    </x:row>
    <x:row r="92" ht="84" customHeight="1">
      <x:c r="A92" s="8" t="str">
        <x:v>ED-0015</x:v>
      </x:c>
      <x:c r="B92" s="8" t="str">
        <x:v>DOC-0016</x:v>
      </x:c>
      <x:c r="C92" s="8" t="str">
        <x:v>Juína</x:v>
      </x:c>
      <x:c r="D92" s="8" t="str">
        <x:v>IV</x:v>
      </x:c>
      <x:c r="E92" s="8" t="str">
        <x:v>RELAÇÃO DAS UNIDADES ESCOLARES CONTEMPLADAS</x:v>
      </x:c>
      <x:c r="F92" s="8" t="n">
        <x:v>59</x:v>
      </x:c>
      <x:c r="G92" s="8" t="str">
        <x:v>PNAE_MT_2025/06_JUINA/DOC-0016_castanheiraedital--chamada-pUblica-2025docx-PO0m.pdf</x:v>
      </x:c>
      <x:c r="H92" s="8" t="str">
        <x:v>Identificadores, instituições, produtos/quantidades, datas e assinaturas; confirmar por tipo.</x:v>
      </x:c>
      <x:c r="I92" s="8" t="str">
        <x:v>Cabeçalho extraído; estrutura preservada no PDF</x:v>
      </x:c>
    </x:row>
    <x:row r="93" ht="84" customHeight="1">
      <x:c r="A93" s="8" t="str">
        <x:v>ED-0015</x:v>
      </x:c>
      <x:c r="B93" s="8" t="str">
        <x:v>DOC-0016</x:v>
      </x:c>
      <x:c r="C93" s="8" t="str">
        <x:v>Juína</x:v>
      </x:c>
      <x:c r="D93" s="8" t="str">
        <x:v>V</x:v>
      </x:c>
      <x:c r="E93" s="8" t="str">
        <x:v>RESULTADO DA CHAMADA PÚBLICA</x:v>
      </x:c>
      <x:c r="F93" s="8" t="n">
        <x:v>59</x:v>
      </x:c>
      <x:c r="G93" s="8" t="str">
        <x:v>PNAE_MT_2025/06_JUINA/DOC-0016_castanheiraedital--chamada-pUblica-2025docx-PO0m.pdf</x:v>
      </x:c>
      <x:c r="H93" s="8" t="str">
        <x:v>Identificadores, instituições, produtos/quantidades, datas e assinaturas; confirmar por tipo.</x:v>
      </x:c>
      <x:c r="I93" s="8" t="str">
        <x:v>Cabeçalho extraído; estrutura preservada no PDF</x:v>
      </x:c>
    </x:row>
    <x:row r="94" ht="84" customHeight="1">
      <x:c r="A94" s="8" t="str">
        <x:v>ED-0015</x:v>
      </x:c>
      <x:c r="B94" s="8" t="str">
        <x:v>DOC-0016</x:v>
      </x:c>
      <x:c r="C94" s="8" t="str">
        <x:v>Juína</x:v>
      </x:c>
      <x:c r="D94" s="8" t="str">
        <x:v>VI</x:v>
      </x:c>
      <x:c r="E94" s="8" t="str">
        <x:v>MINUTA TERMO DE CONTRATO Nº 0XX/202X/SEDUC/MT</x:v>
      </x:c>
      <x:c r="F94" s="8" t="n">
        <x:v>60</x:v>
      </x:c>
      <x:c r="G94" s="8" t="str">
        <x:v>PNAE_MT_2025/06_JUINA/DOC-0016_castanheiraedital--chamada-pUblica-2025docx-PO0m.pdf</x:v>
      </x:c>
      <x:c r="H94" s="8" t="str">
        <x:v>Identificadores, instituições, produtos/quantidades, datas e assinaturas; confirmar por tipo.</x:v>
      </x:c>
      <x:c r="I94" s="8" t="str">
        <x:v>Cabeçalho extraído; estrutura preservada no PDF</x:v>
      </x:c>
    </x:row>
    <x:row r="95" ht="84" customHeight="1">
      <x:c r="A95" s="8" t="str">
        <x:v>ED-0016</x:v>
      </x:c>
      <x:c r="B95" s="8" t="str">
        <x:v>DOC-0017</x:v>
      </x:c>
      <x:c r="C95" s="8" t="str">
        <x:v>Juína</x:v>
      </x:c>
      <x:c r="D95" s="8" t="str">
        <x:v>I</x:v>
      </x:c>
      <x:c r="E95" s="8" t="str">
        <x:v>PROJETOS DE VENDAS PARA OS FORNECEDORES INDIVIDUAIS</x:v>
      </x:c>
      <x:c r="F95" s="8" t="n">
        <x:v>53</x:v>
      </x:c>
      <x:c r="G95" s="8" t="str">
        <x:v>PNAE_MT_2025/06_JUINA/DOC-0017_brasnorteedital--chamada-pUblica-2025docx-ZQmt.pdf</x:v>
      </x:c>
      <x:c r="H95" s="8" t="str">
        <x:v>Identificadores, instituições, produtos/quantidades, datas e assinaturas; confirmar por tipo.</x:v>
      </x:c>
      <x:c r="I95" s="8" t="str">
        <x:v>Cabeçalho extraído; estrutura preservada no PDF</x:v>
      </x:c>
    </x:row>
    <x:row r="96" ht="84" customHeight="1">
      <x:c r="A96" s="8" t="str">
        <x:v>ED-0016</x:v>
      </x:c>
      <x:c r="B96" s="8" t="str">
        <x:v>DOC-0017</x:v>
      </x:c>
      <x:c r="C96" s="8" t="str">
        <x:v>Juína</x:v>
      </x:c>
      <x:c r="D96" s="8" t="str">
        <x:v>II</x:v>
      </x:c>
      <x:c r="E96" s="8" t="str">
        <x:v>PROJETO DE VENDAS PARA OS GRUPOS INFORMAIS PROJETO DE VENDA DE GÊNEROS ALIMENTÍCIOS DA AGRICULTURA FAMILIAR PARA ALIMENTAÇÃO ESCOLAR/PNAE</x:v>
      </x:c>
      <x:c r="F96" s="8" t="n">
        <x:v>56</x:v>
      </x:c>
      <x:c r="G96" s="8" t="str">
        <x:v>PNAE_MT_2025/06_JUINA/DOC-0017_brasnorteedital--chamada-pUblica-2025docx-ZQmt.pdf</x:v>
      </x:c>
      <x:c r="H96" s="8" t="str">
        <x:v>Identificadores, instituições, produtos/quantidades, datas e assinaturas; confirmar por tipo.</x:v>
      </x:c>
      <x:c r="I96" s="8" t="str">
        <x:v>Cabeçalho extraído; estrutura preservada no PDF</x:v>
      </x:c>
    </x:row>
    <x:row r="97" ht="84" customHeight="1">
      <x:c r="A97" s="8" t="str">
        <x:v>ED-0016</x:v>
      </x:c>
      <x:c r="B97" s="8" t="str">
        <x:v>DOC-0017</x:v>
      </x:c>
      <x:c r="C97" s="8" t="str">
        <x:v>Juína</x:v>
      </x:c>
      <x:c r="D97" s="8" t="str">
        <x:v>III</x:v>
      </x:c>
      <x:c r="E97" s="8" t="str">
        <x:v>PROJETO DE VENDAS PARA OS GRUPOS FORMAIS</x:v>
      </x:c>
      <x:c r="F97" s="8" t="n">
        <x:v>57</x:v>
      </x:c>
      <x:c r="G97" s="8" t="str">
        <x:v>PNAE_MT_2025/06_JUINA/DOC-0017_brasnorteedital--chamada-pUblica-2025docx-ZQmt.pdf</x:v>
      </x:c>
      <x:c r="H97" s="8" t="str">
        <x:v>Identificadores, instituições, produtos/quantidades, datas e assinaturas; confirmar por tipo.</x:v>
      </x:c>
      <x:c r="I97" s="8" t="str">
        <x:v>Cabeçalho extraído; estrutura preservada no PDF</x:v>
      </x:c>
    </x:row>
    <x:row r="98" ht="84" customHeight="1">
      <x:c r="A98" s="8" t="str">
        <x:v>ED-0016</x:v>
      </x:c>
      <x:c r="B98" s="8" t="str">
        <x:v>DOC-0017</x:v>
      </x:c>
      <x:c r="C98" s="8" t="str">
        <x:v>Juína</x:v>
      </x:c>
      <x:c r="D98" s="8" t="str">
        <x:v>IV</x:v>
      </x:c>
      <x:c r="E98" s="8" t="str">
        <x:v>RELAÇÃO DAS UNIDADES ESCOLARES CONTEMPLADAS</x:v>
      </x:c>
      <x:c r="F98" s="8" t="n">
        <x:v>60</x:v>
      </x:c>
      <x:c r="G98" s="8" t="str">
        <x:v>PNAE_MT_2025/06_JUINA/DOC-0017_brasnorteedital--chamada-pUblica-2025docx-ZQmt.pdf</x:v>
      </x:c>
      <x:c r="H98" s="8" t="str">
        <x:v>Identificadores, instituições, produtos/quantidades, datas e assinaturas; confirmar por tipo.</x:v>
      </x:c>
      <x:c r="I98" s="8" t="str">
        <x:v>Cabeçalho extraído; estrutura preservada no PDF</x:v>
      </x:c>
    </x:row>
    <x:row r="99" ht="84" customHeight="1">
      <x:c r="A99" s="8" t="str">
        <x:v>ED-0016</x:v>
      </x:c>
      <x:c r="B99" s="8" t="str">
        <x:v>DOC-0017</x:v>
      </x:c>
      <x:c r="C99" s="8" t="str">
        <x:v>Juína</x:v>
      </x:c>
      <x:c r="D99" s="8" t="str">
        <x:v>V</x:v>
      </x:c>
      <x:c r="E99" s="8" t="str">
        <x:v>RESULTADO DA CHAMADA PÚBLICA</x:v>
      </x:c>
      <x:c r="F99" s="8" t="n">
        <x:v>60</x:v>
      </x:c>
      <x:c r="G99" s="8" t="str">
        <x:v>PNAE_MT_2025/06_JUINA/DOC-0017_brasnorteedital--chamada-pUblica-2025docx-ZQmt.pdf</x:v>
      </x:c>
      <x:c r="H99" s="8" t="str">
        <x:v>Identificadores, instituições, produtos/quantidades, datas e assinaturas; confirmar por tipo.</x:v>
      </x:c>
      <x:c r="I99" s="8" t="str">
        <x:v>Cabeçalho extraído; estrutura preservada no PDF</x:v>
      </x:c>
    </x:row>
    <x:row r="100" ht="84" customHeight="1">
      <x:c r="A100" s="8" t="str">
        <x:v>ED-0016</x:v>
      </x:c>
      <x:c r="B100" s="8" t="str">
        <x:v>DOC-0017</x:v>
      </x:c>
      <x:c r="C100" s="8" t="str">
        <x:v>Juína</x:v>
      </x:c>
      <x:c r="D100" s="8" t="str">
        <x:v>VI</x:v>
      </x:c>
      <x:c r="E100" s="8" t="str">
        <x:v>MINUTA TERMO DE CONTRATO Nº 0XX/202X/SEDUC/MT</x:v>
      </x:c>
      <x:c r="F100" s="8" t="n">
        <x:v>61</x:v>
      </x:c>
      <x:c r="G100" s="8" t="str">
        <x:v>PNAE_MT_2025/06_JUINA/DOC-0017_brasnorteedital--chamada-pUblica-2025docx-ZQmt.pdf</x:v>
      </x:c>
      <x:c r="H100" s="8" t="str">
        <x:v>Identificadores, instituições, produtos/quantidades, datas e assinaturas; confirmar por tipo.</x:v>
      </x:c>
      <x:c r="I100" s="8" t="str">
        <x:v>Cabeçalho extraído; estrutura preservada no PDF</x:v>
      </x:c>
    </x:row>
    <x:row r="101" ht="84" customHeight="1">
      <x:c r="A101" s="8" t="str">
        <x:v>ED-0017</x:v>
      </x:c>
      <x:c r="B101" s="8" t="str">
        <x:v>DOC-0018</x:v>
      </x:c>
      <x:c r="C101" s="8" t="str">
        <x:v>Juína</x:v>
      </x:c>
      <x:c r="D101" s="8" t="str">
        <x:v>I</x:v>
      </x:c>
      <x:c r="E101" s="8" t="str">
        <x:v>PROJETOS DE VENDAS PARA OS FORNECEDORES INDIVIDUAIS</x:v>
      </x:c>
      <x:c r="F101" s="8" t="n">
        <x:v>54</x:v>
      </x:c>
      <x:c r="G101" s="8" t="str">
        <x:v>PNAE_MT_2025/06_JUINA/DOC-0018_juinaedital--chamada-pUblica-2025-juinadocx-d5go.pdf</x:v>
      </x:c>
      <x:c r="H101" s="8" t="str">
        <x:v>Identificadores, instituições, produtos/quantidades, datas e assinaturas; confirmar por tipo.</x:v>
      </x:c>
      <x:c r="I101" s="8" t="str">
        <x:v>Cabeçalho extraído; estrutura preservada no PDF</x:v>
      </x:c>
    </x:row>
    <x:row r="102" ht="84" customHeight="1">
      <x:c r="A102" s="8" t="str">
        <x:v>ED-0017</x:v>
      </x:c>
      <x:c r="B102" s="8" t="str">
        <x:v>DOC-0018</x:v>
      </x:c>
      <x:c r="C102" s="8" t="str">
        <x:v>Juína</x:v>
      </x:c>
      <x:c r="D102" s="8" t="str">
        <x:v>II</x:v>
      </x:c>
      <x:c r="E102" s="8" t="str">
        <x:v>PROJETO DE VENDAS PARA OS GRUPOS INFORMAIS PROJETO DE VENDA DE GÊNEROS ALIMENTÍCIOS DA AGRICULTURA FAMILIAR PARA ALIMENTAÇÃO ESCOLAR/PNAE</x:v>
      </x:c>
      <x:c r="F102" s="8" t="n">
        <x:v>56</x:v>
      </x:c>
      <x:c r="G102" s="8" t="str">
        <x:v>PNAE_MT_2025/06_JUINA/DOC-0018_juinaedital--chamada-pUblica-2025-juinadocx-d5go.pdf</x:v>
      </x:c>
      <x:c r="H102" s="8" t="str">
        <x:v>Identificadores, instituições, produtos/quantidades, datas e assinaturas; confirmar por tipo.</x:v>
      </x:c>
      <x:c r="I102" s="8" t="str">
        <x:v>Cabeçalho extraído; estrutura preservada no PDF</x:v>
      </x:c>
    </x:row>
    <x:row r="103" ht="84" customHeight="1">
      <x:c r="A103" s="8" t="str">
        <x:v>ED-0017</x:v>
      </x:c>
      <x:c r="B103" s="8" t="str">
        <x:v>DOC-0018</x:v>
      </x:c>
      <x:c r="C103" s="8" t="str">
        <x:v>Juína</x:v>
      </x:c>
      <x:c r="D103" s="8" t="str">
        <x:v>III</x:v>
      </x:c>
      <x:c r="E103" s="8" t="str">
        <x:v>PROJETO DE VENDAS PARA OS GRUPOS FORMAIS</x:v>
      </x:c>
      <x:c r="F103" s="8" t="n">
        <x:v>57</x:v>
      </x:c>
      <x:c r="G103" s="8" t="str">
        <x:v>PNAE_MT_2025/06_JUINA/DOC-0018_juinaedital--chamada-pUblica-2025-juinadocx-d5go.pdf</x:v>
      </x:c>
      <x:c r="H103" s="8" t="str">
        <x:v>Identificadores, instituições, produtos/quantidades, datas e assinaturas; confirmar por tipo.</x:v>
      </x:c>
      <x:c r="I103" s="8" t="str">
        <x:v>Cabeçalho extraído; estrutura preservada no PDF</x:v>
      </x:c>
    </x:row>
    <x:row r="104" ht="84" customHeight="1">
      <x:c r="A104" s="8" t="str">
        <x:v>ED-0017</x:v>
      </x:c>
      <x:c r="B104" s="8" t="str">
        <x:v>DOC-0018</x:v>
      </x:c>
      <x:c r="C104" s="8" t="str">
        <x:v>Juína</x:v>
      </x:c>
      <x:c r="D104" s="8" t="str">
        <x:v>IV</x:v>
      </x:c>
      <x:c r="E104" s="8" t="str">
        <x:v>RELAÇÃO DAS UNIDADES ESCOLARES CONTEMPLADAS</x:v>
      </x:c>
      <x:c r="F104" s="8" t="n">
        <x:v>60</x:v>
      </x:c>
      <x:c r="G104" s="8" t="str">
        <x:v>PNAE_MT_2025/06_JUINA/DOC-0018_juinaedital--chamada-pUblica-2025-juinadocx-d5go.pdf</x:v>
      </x:c>
      <x:c r="H104" s="8" t="str">
        <x:v>Identificadores, instituições, produtos/quantidades, datas e assinaturas; confirmar por tipo.</x:v>
      </x:c>
      <x:c r="I104" s="8" t="str">
        <x:v>Cabeçalho extraído; estrutura preservada no PDF</x:v>
      </x:c>
    </x:row>
    <x:row r="105" ht="84" customHeight="1">
      <x:c r="A105" s="8" t="str">
        <x:v>ED-0017</x:v>
      </x:c>
      <x:c r="B105" s="8" t="str">
        <x:v>DOC-0018</x:v>
      </x:c>
      <x:c r="C105" s="8" t="str">
        <x:v>Juína</x:v>
      </x:c>
      <x:c r="D105" s="8" t="str">
        <x:v>V</x:v>
      </x:c>
      <x:c r="E105" s="8" t="str">
        <x:v>RESULTADO DA CHAMADA PÚBLICA</x:v>
      </x:c>
      <x:c r="F105" s="8" t="n">
        <x:v>60</x:v>
      </x:c>
      <x:c r="G105" s="8" t="str">
        <x:v>PNAE_MT_2025/06_JUINA/DOC-0018_juinaedital--chamada-pUblica-2025-juinadocx-d5go.pdf</x:v>
      </x:c>
      <x:c r="H105" s="8" t="str">
        <x:v>Identificadores, instituições, produtos/quantidades, datas e assinaturas; confirmar por tipo.</x:v>
      </x:c>
      <x:c r="I105" s="8" t="str">
        <x:v>Cabeçalho extraído; estrutura preservada no PDF</x:v>
      </x:c>
    </x:row>
    <x:row r="106" ht="84" customHeight="1">
      <x:c r="A106" s="8" t="str">
        <x:v>ED-0017</x:v>
      </x:c>
      <x:c r="B106" s="8" t="str">
        <x:v>DOC-0018</x:v>
      </x:c>
      <x:c r="C106" s="8" t="str">
        <x:v>Juína</x:v>
      </x:c>
      <x:c r="D106" s="8" t="str">
        <x:v>VI</x:v>
      </x:c>
      <x:c r="E106" s="8" t="str">
        <x:v>MINUTA TERMO DE CONTRATO Nº 0XX/202X/SEDUC/MT</x:v>
      </x:c>
      <x:c r="F106" s="8" t="n">
        <x:v>61</x:v>
      </x:c>
      <x:c r="G106" s="8" t="str">
        <x:v>PNAE_MT_2025/06_JUINA/DOC-0018_juinaedital--chamada-pUblica-2025-juinadocx-d5go.pdf</x:v>
      </x:c>
      <x:c r="H106" s="8" t="str">
        <x:v>Identificadores, instituições, produtos/quantidades, datas e assinaturas; confirmar por tipo.</x:v>
      </x:c>
      <x:c r="I106" s="8" t="str">
        <x:v>Cabeçalho extraído; estrutura preservada no PDF</x:v>
      </x:c>
    </x:row>
    <x:row r="107" ht="84" customHeight="1">
      <x:c r="A107" s="8" t="str">
        <x:v>ED-0018</x:v>
      </x:c>
      <x:c r="B107" s="8" t="str">
        <x:v>DOC-0019</x:v>
      </x:c>
      <x:c r="C107" s="8" t="str">
        <x:v>Juína</x:v>
      </x:c>
      <x:c r="D107" s="8" t="str">
        <x:v>I</x:v>
      </x:c>
      <x:c r="E107" s="8" t="str">
        <x:v>PROJETOS DE VENDAS PARA OS FORNECEDORES INDIVIDUAIS</x:v>
      </x:c>
      <x:c r="F107" s="8" t="n">
        <x:v>49</x:v>
      </x:c>
      <x:c r="G107" s="8" t="str">
        <x:v>PNAE_MT_2025/06_JUINA/DOC-0019_cotriguacuedital--chamada-pUblica-2025-t7Br.pdf</x:v>
      </x:c>
      <x:c r="H107" s="8" t="str">
        <x:v>Identificadores, instituições, produtos/quantidades, datas e assinaturas; confirmar por tipo.</x:v>
      </x:c>
      <x:c r="I107" s="8" t="str">
        <x:v>Cabeçalho extraído; estrutura preservada no PDF</x:v>
      </x:c>
    </x:row>
    <x:row r="108" ht="84" customHeight="1">
      <x:c r="A108" s="8" t="str">
        <x:v>ED-0018</x:v>
      </x:c>
      <x:c r="B108" s="8" t="str">
        <x:v>DOC-0019</x:v>
      </x:c>
      <x:c r="C108" s="8" t="str">
        <x:v>Juína</x:v>
      </x:c>
      <x:c r="D108" s="8" t="str">
        <x:v>II</x:v>
      </x:c>
      <x:c r="E108" s="8" t="str">
        <x:v>PROJETO DE VENDAS PARA OS GRUPOS INFORMAIS PROJETO DE VENDA DE GÊNEROS ALIMENTÍCIOS DA AGRICULTURA FAMILIAR PARA ALIMENTAÇÃO ESCOLAR/PNAE</x:v>
      </x:c>
      <x:c r="F108" s="8" t="n">
        <x:v>51</x:v>
      </x:c>
      <x:c r="G108" s="8" t="str">
        <x:v>PNAE_MT_2025/06_JUINA/DOC-0019_cotriguacuedital--chamada-pUblica-2025-t7Br.pdf</x:v>
      </x:c>
      <x:c r="H108" s="8" t="str">
        <x:v>Identificadores, instituições, produtos/quantidades, datas e assinaturas; confirmar por tipo.</x:v>
      </x:c>
      <x:c r="I108" s="8" t="str">
        <x:v>Cabeçalho extraído; estrutura preservada no PDF</x:v>
      </x:c>
    </x:row>
    <x:row r="109" ht="84" customHeight="1">
      <x:c r="A109" s="8" t="str">
        <x:v>ED-0018</x:v>
      </x:c>
      <x:c r="B109" s="8" t="str">
        <x:v>DOC-0019</x:v>
      </x:c>
      <x:c r="C109" s="8" t="str">
        <x:v>Juína</x:v>
      </x:c>
      <x:c r="D109" s="8" t="str">
        <x:v>III</x:v>
      </x:c>
      <x:c r="E109" s="8" t="str">
        <x:v>PROJETO DE VENDAS PARA OS GRUPOS FORMAIS</x:v>
      </x:c>
      <x:c r="F109" s="8" t="n">
        <x:v>52</x:v>
      </x:c>
      <x:c r="G109" s="8" t="str">
        <x:v>PNAE_MT_2025/06_JUINA/DOC-0019_cotriguacuedital--chamada-pUblica-2025-t7Br.pdf</x:v>
      </x:c>
      <x:c r="H109" s="8" t="str">
        <x:v>Identificadores, instituições, produtos/quantidades, datas e assinaturas; confirmar por tipo.</x:v>
      </x:c>
      <x:c r="I109" s="8" t="str">
        <x:v>Cabeçalho extraído; estrutura preservada no PDF</x:v>
      </x:c>
    </x:row>
    <x:row r="110" ht="84" customHeight="1">
      <x:c r="A110" s="8" t="str">
        <x:v>ED-0018</x:v>
      </x:c>
      <x:c r="B110" s="8" t="str">
        <x:v>DOC-0019</x:v>
      </x:c>
      <x:c r="C110" s="8" t="str">
        <x:v>Juína</x:v>
      </x:c>
      <x:c r="D110" s="8" t="str">
        <x:v>IV</x:v>
      </x:c>
      <x:c r="E110" s="8" t="str">
        <x:v>RELAÇÃO DAS UNIDADES ESCOLARES CONTEMPLADAS</x:v>
      </x:c>
      <x:c r="F110" s="8" t="n">
        <x:v>55</x:v>
      </x:c>
      <x:c r="G110" s="8" t="str">
        <x:v>PNAE_MT_2025/06_JUINA/DOC-0019_cotriguacuedital--chamada-pUblica-2025-t7Br.pdf</x:v>
      </x:c>
      <x:c r="H110" s="8" t="str">
        <x:v>Identificadores, instituições, produtos/quantidades, datas e assinaturas; confirmar por tipo.</x:v>
      </x:c>
      <x:c r="I110" s="8" t="str">
        <x:v>Cabeçalho extraído; estrutura preservada no PDF</x:v>
      </x:c>
    </x:row>
    <x:row r="111" ht="84" customHeight="1">
      <x:c r="A111" s="8" t="str">
        <x:v>ED-0018</x:v>
      </x:c>
      <x:c r="B111" s="8" t="str">
        <x:v>DOC-0019</x:v>
      </x:c>
      <x:c r="C111" s="8" t="str">
        <x:v>Juína</x:v>
      </x:c>
      <x:c r="D111" s="8" t="str">
        <x:v>V</x:v>
      </x:c>
      <x:c r="E111" s="8" t="str">
        <x:v>RESULTADO DA CHAMADA PÚBLICA</x:v>
      </x:c>
      <x:c r="F111" s="8" t="n">
        <x:v>56</x:v>
      </x:c>
      <x:c r="G111" s="8" t="str">
        <x:v>PNAE_MT_2025/06_JUINA/DOC-0019_cotriguacuedital--chamada-pUblica-2025-t7Br.pdf</x:v>
      </x:c>
      <x:c r="H111" s="8" t="str">
        <x:v>Identificadores, instituições, produtos/quantidades, datas e assinaturas; confirmar por tipo.</x:v>
      </x:c>
      <x:c r="I111" s="8" t="str">
        <x:v>Cabeçalho extraído; estrutura preservada no PDF</x:v>
      </x:c>
    </x:row>
    <x:row r="112" ht="84" customHeight="1">
      <x:c r="A112" s="8" t="str">
        <x:v>ED-0018</x:v>
      </x:c>
      <x:c r="B112" s="8" t="str">
        <x:v>DOC-0019</x:v>
      </x:c>
      <x:c r="C112" s="8" t="str">
        <x:v>Juína</x:v>
      </x:c>
      <x:c r="D112" s="8" t="str">
        <x:v>VI</x:v>
      </x:c>
      <x:c r="E112" s="8" t="str">
        <x:v>MINUTA TERMO DE CONTRATO Nº 0XX/202X/SEDUC/MT</x:v>
      </x:c>
      <x:c r="F112" s="8" t="n">
        <x:v>57</x:v>
      </x:c>
      <x:c r="G112" s="8" t="str">
        <x:v>PNAE_MT_2025/06_JUINA/DOC-0019_cotriguacuedital--chamada-pUblica-2025-t7Br.pdf</x:v>
      </x:c>
      <x:c r="H112" s="8" t="str">
        <x:v>Identificadores, instituições, produtos/quantidades, datas e assinaturas; confirmar por tipo.</x:v>
      </x:c>
      <x:c r="I112" s="8" t="str">
        <x:v>Cabeçalho extraído; estrutura preservada no PDF</x:v>
      </x:c>
    </x:row>
    <x:row r="113" ht="84" customHeight="1">
      <x:c r="A113" s="8" t="str">
        <x:v>ED-0019</x:v>
      </x:c>
      <x:c r="B113" s="8" t="str">
        <x:v>DOC-0021</x:v>
      </x:c>
      <x:c r="C113" s="8" t="str">
        <x:v>Juína</x:v>
      </x:c>
      <x:c r="D113" s="8" t="str">
        <x:v>I</x:v>
      </x:c>
      <x:c r="E113" s="8" t="str">
        <x:v>PROJETOS DE VENDAS PARA OS FORNECEDORES INDIVIDUAIS</x:v>
      </x:c>
      <x:c r="F113" s="8" t="n">
        <x:v>53</x:v>
      </x:c>
      <x:c r="G113" s="8" t="str">
        <x:v>PNAE_MT_2025/06_JUINA/DOC-0021_novo-horizonte-edital--chamada-pUblica-2025pos-parecer-2docx-FGAB.pdf</x:v>
      </x:c>
      <x:c r="H113" s="8" t="str">
        <x:v>Identificadores, instituições, produtos/quantidades, datas e assinaturas; confirmar por tipo.</x:v>
      </x:c>
      <x:c r="I113" s="8" t="str">
        <x:v>Cabeçalho extraído; estrutura preservada no PDF</x:v>
      </x:c>
    </x:row>
    <x:row r="114" ht="84" customHeight="1">
      <x:c r="A114" s="8" t="str">
        <x:v>ED-0019</x:v>
      </x:c>
      <x:c r="B114" s="8" t="str">
        <x:v>DOC-0021</x:v>
      </x:c>
      <x:c r="C114" s="8" t="str">
        <x:v>Juína</x:v>
      </x:c>
      <x:c r="D114" s="8" t="str">
        <x:v>II</x:v>
      </x:c>
      <x:c r="E114" s="8" t="str">
        <x:v>PROJETO DE VENDAS PARA OS GRUPOS INFORMAIS PROJETO DE VENDA DE GÊNEROS ALIMENTÍCIOS DA AGRICULTURA FAMILIAR PARA ALIMENTAÇÃO ESCOLAR/PNAE</x:v>
      </x:c>
      <x:c r="F114" s="8" t="n">
        <x:v>55</x:v>
      </x:c>
      <x:c r="G114" s="8" t="str">
        <x:v>PNAE_MT_2025/06_JUINA/DOC-0021_novo-horizonte-edital--chamada-pUblica-2025pos-parecer-2docx-FGAB.pdf</x:v>
      </x:c>
      <x:c r="H114" s="8" t="str">
        <x:v>Identificadores, instituições, produtos/quantidades, datas e assinaturas; confirmar por tipo.</x:v>
      </x:c>
      <x:c r="I114" s="8" t="str">
        <x:v>Cabeçalho extraído; estrutura preservada no PDF</x:v>
      </x:c>
    </x:row>
    <x:row r="115" ht="84" customHeight="1">
      <x:c r="A115" s="8" t="str">
        <x:v>ED-0019</x:v>
      </x:c>
      <x:c r="B115" s="8" t="str">
        <x:v>DOC-0021</x:v>
      </x:c>
      <x:c r="C115" s="8" t="str">
        <x:v>Juína</x:v>
      </x:c>
      <x:c r="D115" s="8" t="str">
        <x:v>III</x:v>
      </x:c>
      <x:c r="E115" s="8" t="str">
        <x:v>PROJETO DE VENDAS PARA OS GRUPOS FORMAIS</x:v>
      </x:c>
      <x:c r="F115" s="8" t="n">
        <x:v>56</x:v>
      </x:c>
      <x:c r="G115" s="8" t="str">
        <x:v>PNAE_MT_2025/06_JUINA/DOC-0021_novo-horizonte-edital--chamada-pUblica-2025pos-parecer-2docx-FGAB.pdf</x:v>
      </x:c>
      <x:c r="H115" s="8" t="str">
        <x:v>Identificadores, instituições, produtos/quantidades, datas e assinaturas; confirmar por tipo.</x:v>
      </x:c>
      <x:c r="I115" s="8" t="str">
        <x:v>Cabeçalho extraído; estrutura preservada no PDF</x:v>
      </x:c>
    </x:row>
    <x:row r="116" ht="84" customHeight="1">
      <x:c r="A116" s="8" t="str">
        <x:v>ED-0019</x:v>
      </x:c>
      <x:c r="B116" s="8" t="str">
        <x:v>DOC-0021</x:v>
      </x:c>
      <x:c r="C116" s="8" t="str">
        <x:v>Juína</x:v>
      </x:c>
      <x:c r="D116" s="8" t="str">
        <x:v>IV</x:v>
      </x:c>
      <x:c r="E116" s="8" t="str">
        <x:v>RELAÇÃO DAS UNIDADES ESCOLARES CONTEMPLADAS</x:v>
      </x:c>
      <x:c r="F116" s="8" t="n">
        <x:v>59</x:v>
      </x:c>
      <x:c r="G116" s="8" t="str">
        <x:v>PNAE_MT_2025/06_JUINA/DOC-0021_novo-horizonte-edital--chamada-pUblica-2025pos-parecer-2docx-FGAB.pdf</x:v>
      </x:c>
      <x:c r="H116" s="8" t="str">
        <x:v>Identificadores, instituições, produtos/quantidades, datas e assinaturas; confirmar por tipo.</x:v>
      </x:c>
      <x:c r="I116" s="8" t="str">
        <x:v>Cabeçalho extraído; estrutura preservada no PDF</x:v>
      </x:c>
    </x:row>
    <x:row r="117" ht="84" customHeight="1">
      <x:c r="A117" s="8" t="str">
        <x:v>ED-0019</x:v>
      </x:c>
      <x:c r="B117" s="8" t="str">
        <x:v>DOC-0021</x:v>
      </x:c>
      <x:c r="C117" s="8" t="str">
        <x:v>Juína</x:v>
      </x:c>
      <x:c r="D117" s="8" t="str">
        <x:v>V</x:v>
      </x:c>
      <x:c r="E117" s="8" t="str">
        <x:v>RESULTADO DA CHAMADA PÚBLICA</x:v>
      </x:c>
      <x:c r="F117" s="8" t="n">
        <x:v>60</x:v>
      </x:c>
      <x:c r="G117" s="8" t="str">
        <x:v>PNAE_MT_2025/06_JUINA/DOC-0021_novo-horizonte-edital--chamada-pUblica-2025pos-parecer-2docx-FGAB.pdf</x:v>
      </x:c>
      <x:c r="H117" s="8" t="str">
        <x:v>Identificadores, instituições, produtos/quantidades, datas e assinaturas; confirmar por tipo.</x:v>
      </x:c>
      <x:c r="I117" s="8" t="str">
        <x:v>Cabeçalho extraído; estrutura preservada no PDF</x:v>
      </x:c>
    </x:row>
    <x:row r="118" ht="84" customHeight="1">
      <x:c r="A118" s="8" t="str">
        <x:v>ED-0019</x:v>
      </x:c>
      <x:c r="B118" s="8" t="str">
        <x:v>DOC-0021</x:v>
      </x:c>
      <x:c r="C118" s="8" t="str">
        <x:v>Juína</x:v>
      </x:c>
      <x:c r="D118" s="8" t="str">
        <x:v>VI</x:v>
      </x:c>
      <x:c r="E118" s="8" t="str">
        <x:v>MINUTA TERMO DE CONTRATO Nº 0XX/202X/SEDUC/MT</x:v>
      </x:c>
      <x:c r="F118" s="8" t="n">
        <x:v>61</x:v>
      </x:c>
      <x:c r="G118" s="8" t="str">
        <x:v>PNAE_MT_2025/06_JUINA/DOC-0021_novo-horizonte-edital--chamada-pUblica-2025pos-parecer-2docx-FGAB.pdf</x:v>
      </x:c>
      <x:c r="H118" s="8" t="str">
        <x:v>Identificadores, instituições, produtos/quantidades, datas e assinaturas; confirmar por tipo.</x:v>
      </x:c>
      <x:c r="I118" s="8" t="str">
        <x:v>Cabeçalho extraído; estrutura preservada no PDF</x:v>
      </x:c>
    </x:row>
    <x:row r="119" ht="84" customHeight="1">
      <x:c r="A119" s="8" t="str">
        <x:v>ED-0020</x:v>
      </x:c>
      <x:c r="B119" s="8" t="str">
        <x:v>DOC-0022</x:v>
      </x:c>
      <x:c r="C119" s="8" t="str">
        <x:v>Juína</x:v>
      </x:c>
      <x:c r="D119" s="8" t="str">
        <x:v>I</x:v>
      </x:c>
      <x:c r="E119" s="8" t="str">
        <x:v>PROJETOS DE VENDAS PARA OS FORNECEDORES INDIVIDUAIS</x:v>
      </x:c>
      <x:c r="F119" s="8" t="n">
        <x:v>52</x:v>
      </x:c>
      <x:c r="G119" s="8" t="str">
        <x:v>PNAE_MT_2025/06_JUINA/DOC-0022_porto-edital--chamada-pUblica-2025docx-1-zvmJ.pdf</x:v>
      </x:c>
      <x:c r="H119" s="8" t="str">
        <x:v>Identificadores, instituições, produtos/quantidades, datas e assinaturas; confirmar por tipo.</x:v>
      </x:c>
      <x:c r="I119" s="8" t="str">
        <x:v>Cabeçalho extraído; estrutura preservada no PDF</x:v>
      </x:c>
    </x:row>
    <x:row r="120" ht="84" customHeight="1">
      <x:c r="A120" s="8" t="str">
        <x:v>ED-0020</x:v>
      </x:c>
      <x:c r="B120" s="8" t="str">
        <x:v>DOC-0022</x:v>
      </x:c>
      <x:c r="C120" s="8" t="str">
        <x:v>Juína</x:v>
      </x:c>
      <x:c r="D120" s="8" t="str">
        <x:v>II</x:v>
      </x:c>
      <x:c r="E120" s="8" t="str">
        <x:v>PROJETO DE VENDAS PARA OS GRUPOS INFORMAIS PROJETO DE VENDA DE GÊNEROS ALIMENTÍCIOS DA AGRICULTURA FAMILIAR PARA ALIMENTAÇÃO ESCOLAR/PNAE</x:v>
      </x:c>
      <x:c r="F120" s="8" t="n">
        <x:v>55</x:v>
      </x:c>
      <x:c r="G120" s="8" t="str">
        <x:v>PNAE_MT_2025/06_JUINA/DOC-0022_porto-edital--chamada-pUblica-2025docx-1-zvmJ.pdf</x:v>
      </x:c>
      <x:c r="H120" s="8" t="str">
        <x:v>Identificadores, instituições, produtos/quantidades, datas e assinaturas; confirmar por tipo.</x:v>
      </x:c>
      <x:c r="I120" s="8" t="str">
        <x:v>Cabeçalho extraído; estrutura preservada no PDF</x:v>
      </x:c>
    </x:row>
    <x:row r="121" ht="84" customHeight="1">
      <x:c r="A121" s="8" t="str">
        <x:v>ED-0020</x:v>
      </x:c>
      <x:c r="B121" s="8" t="str">
        <x:v>DOC-0022</x:v>
      </x:c>
      <x:c r="C121" s="8" t="str">
        <x:v>Juína</x:v>
      </x:c>
      <x:c r="D121" s="8" t="str">
        <x:v>III</x:v>
      </x:c>
      <x:c r="E121" s="8" t="str">
        <x:v>PROJETO DE VENDAS PARA OS GRUPOS FORMAIS</x:v>
      </x:c>
      <x:c r="F121" s="8" t="n">
        <x:v>57</x:v>
      </x:c>
      <x:c r="G121" s="8" t="str">
        <x:v>PNAE_MT_2025/06_JUINA/DOC-0022_porto-edital--chamada-pUblica-2025docx-1-zvmJ.pdf</x:v>
      </x:c>
      <x:c r="H121" s="8" t="str">
        <x:v>Identificadores, instituições, produtos/quantidades, datas e assinaturas; confirmar por tipo.</x:v>
      </x:c>
      <x:c r="I121" s="8" t="str">
        <x:v>Cabeçalho extraído; estrutura preservada no PDF</x:v>
      </x:c>
    </x:row>
    <x:row r="122" ht="84" customHeight="1">
      <x:c r="A122" s="8" t="str">
        <x:v>ED-0020</x:v>
      </x:c>
      <x:c r="B122" s="8" t="str">
        <x:v>DOC-0022</x:v>
      </x:c>
      <x:c r="C122" s="8" t="str">
        <x:v>Juína</x:v>
      </x:c>
      <x:c r="D122" s="8" t="str">
        <x:v>IV</x:v>
      </x:c>
      <x:c r="E122" s="8" t="str">
        <x:v>RELAÇÃO DAS UNIDADES ESCOLARES CONTEMPLADAS</x:v>
      </x:c>
      <x:c r="F122" s="8" t="n">
        <x:v>59</x:v>
      </x:c>
      <x:c r="G122" s="8" t="str">
        <x:v>PNAE_MT_2025/06_JUINA/DOC-0022_porto-edital--chamada-pUblica-2025docx-1-zvmJ.pdf</x:v>
      </x:c>
      <x:c r="H122" s="8" t="str">
        <x:v>Identificadores, instituições, produtos/quantidades, datas e assinaturas; confirmar por tipo.</x:v>
      </x:c>
      <x:c r="I122" s="8" t="str">
        <x:v>Cabeçalho extraído; estrutura preservada no PDF</x:v>
      </x:c>
    </x:row>
    <x:row r="123" ht="84" customHeight="1">
      <x:c r="A123" s="8" t="str">
        <x:v>ED-0020</x:v>
      </x:c>
      <x:c r="B123" s="8" t="str">
        <x:v>DOC-0022</x:v>
      </x:c>
      <x:c r="C123" s="8" t="str">
        <x:v>Juína</x:v>
      </x:c>
      <x:c r="D123" s="8" t="str">
        <x:v>V</x:v>
      </x:c>
      <x:c r="E123" s="8" t="str">
        <x:v>RESULTADO DA CHAMADA PÚBLICA</x:v>
      </x:c>
      <x:c r="F123" s="8" t="n">
        <x:v>59</x:v>
      </x:c>
      <x:c r="G123" s="8" t="str">
        <x:v>PNAE_MT_2025/06_JUINA/DOC-0022_porto-edital--chamada-pUblica-2025docx-1-zvmJ.pdf</x:v>
      </x:c>
      <x:c r="H123" s="8" t="str">
        <x:v>Identificadores, instituições, produtos/quantidades, datas e assinaturas; confirmar por tipo.</x:v>
      </x:c>
      <x:c r="I123" s="8" t="str">
        <x:v>Cabeçalho extraído; estrutura preservada no PDF</x:v>
      </x:c>
    </x:row>
    <x:row r="124" ht="84" customHeight="1">
      <x:c r="A124" s="8" t="str">
        <x:v>ED-0020</x:v>
      </x:c>
      <x:c r="B124" s="8" t="str">
        <x:v>DOC-0022</x:v>
      </x:c>
      <x:c r="C124" s="8" t="str">
        <x:v>Juína</x:v>
      </x:c>
      <x:c r="D124" s="8" t="str">
        <x:v>VI</x:v>
      </x:c>
      <x:c r="E124" s="8" t="str">
        <x:v>MINUTA TERMO DE CONTRATO Nº 0XX/202X/SEDUC/MT</x:v>
      </x:c>
      <x:c r="F124" s="8" t="n">
        <x:v>60</x:v>
      </x:c>
      <x:c r="G124" s="8" t="str">
        <x:v>PNAE_MT_2025/06_JUINA/DOC-0022_porto-edital--chamada-pUblica-2025docx-1-zvmJ.pdf</x:v>
      </x:c>
      <x:c r="H124" s="8" t="str">
        <x:v>Identificadores, instituições, produtos/quantidades, datas e assinaturas; confirmar por tipo.</x:v>
      </x:c>
      <x:c r="I124" s="8" t="str">
        <x:v>Cabeçalho extraído; estrutura preservada no PDF</x:v>
      </x:c>
    </x:row>
    <x:row r="125" ht="84" customHeight="1">
      <x:c r="A125" s="8" t="str">
        <x:v>ED-0021</x:v>
      </x:c>
      <x:c r="B125" s="8" t="str">
        <x:v>DOC-0023</x:v>
      </x:c>
      <x:c r="C125" s="8" t="str">
        <x:v>Juína</x:v>
      </x:c>
      <x:c r="D125" s="8" t="str">
        <x:v>I</x:v>
      </x:c>
      <x:c r="E125" s="8" t="str">
        <x:v>PROJETOS DE VENDAS PARA OS FORNECEDORES INDIVIDUAIS</x:v>
      </x:c>
      <x:c r="F125" s="8" t="n">
        <x:v>54</x:v>
      </x:c>
      <x:c r="G125" s="8" t="str">
        <x:v>PNAE_MT_2025/06_JUINA/DOC-0023_juara-indigenaedital--chamada-pUblica-2025pos-parecer-1docx-5sZw.pdf</x:v>
      </x:c>
      <x:c r="H125" s="8" t="str">
        <x:v>Identificadores, instituições, produtos/quantidades, datas e assinaturas; confirmar por tipo.</x:v>
      </x:c>
      <x:c r="I125" s="8" t="str">
        <x:v>Cabeçalho extraído; estrutura preservada no PDF</x:v>
      </x:c>
    </x:row>
    <x:row r="126" ht="84" customHeight="1">
      <x:c r="A126" s="8" t="str">
        <x:v>ED-0021</x:v>
      </x:c>
      <x:c r="B126" s="8" t="str">
        <x:v>DOC-0023</x:v>
      </x:c>
      <x:c r="C126" s="8" t="str">
        <x:v>Juína</x:v>
      </x:c>
      <x:c r="D126" s="8" t="str">
        <x:v>II</x:v>
      </x:c>
      <x:c r="E126" s="8" t="str">
        <x:v>PROJETO DE VENDAS PARA OS GRUPOS INFORMAIS PROJETO DE VENDA DE GÊNEROS ALIMENTÍCIOS DA AGRICULTURA FAMILIAR PARA ALIMENTAÇÃO ESCOLAR/PNAE</x:v>
      </x:c>
      <x:c r="F126" s="8" t="n">
        <x:v>56</x:v>
      </x:c>
      <x:c r="G126" s="8" t="str">
        <x:v>PNAE_MT_2025/06_JUINA/DOC-0023_juara-indigenaedital--chamada-pUblica-2025pos-parecer-1docx-5sZw.pdf</x:v>
      </x:c>
      <x:c r="H126" s="8" t="str">
        <x:v>Identificadores, instituições, produtos/quantidades, datas e assinaturas; confirmar por tipo.</x:v>
      </x:c>
      <x:c r="I126" s="8" t="str">
        <x:v>Cabeçalho extraído; estrutura preservada no PDF</x:v>
      </x:c>
    </x:row>
    <x:row r="127" ht="84" customHeight="1">
      <x:c r="A127" s="8" t="str">
        <x:v>ED-0021</x:v>
      </x:c>
      <x:c r="B127" s="8" t="str">
        <x:v>DOC-0023</x:v>
      </x:c>
      <x:c r="C127" s="8" t="str">
        <x:v>Juína</x:v>
      </x:c>
      <x:c r="D127" s="8" t="str">
        <x:v>III</x:v>
      </x:c>
      <x:c r="E127" s="8" t="str">
        <x:v>PROJETO DE VENDAS PARA OS GRUPOS FORMAIS</x:v>
      </x:c>
      <x:c r="F127" s="8" t="n">
        <x:v>57</x:v>
      </x:c>
      <x:c r="G127" s="8" t="str">
        <x:v>PNAE_MT_2025/06_JUINA/DOC-0023_juara-indigenaedital--chamada-pUblica-2025pos-parecer-1docx-5sZw.pdf</x:v>
      </x:c>
      <x:c r="H127" s="8" t="str">
        <x:v>Identificadores, instituições, produtos/quantidades, datas e assinaturas; confirmar por tipo.</x:v>
      </x:c>
      <x:c r="I127" s="8" t="str">
        <x:v>Cabeçalho extraído; estrutura preservada no PDF</x:v>
      </x:c>
    </x:row>
    <x:row r="128" ht="84" customHeight="1">
      <x:c r="A128" s="8" t="str">
        <x:v>ED-0021</x:v>
      </x:c>
      <x:c r="B128" s="8" t="str">
        <x:v>DOC-0023</x:v>
      </x:c>
      <x:c r="C128" s="8" t="str">
        <x:v>Juína</x:v>
      </x:c>
      <x:c r="D128" s="8" t="str">
        <x:v>IV</x:v>
      </x:c>
      <x:c r="E128" s="8" t="str">
        <x:v>RELAÇÃO DAS UNIDADES ESCOLARES CONTEMPLADAS</x:v>
      </x:c>
      <x:c r="F128" s="8" t="n">
        <x:v>60</x:v>
      </x:c>
      <x:c r="G128" s="8" t="str">
        <x:v>PNAE_MT_2025/06_JUINA/DOC-0023_juara-indigenaedital--chamada-pUblica-2025pos-parecer-1docx-5sZw.pdf</x:v>
      </x:c>
      <x:c r="H128" s="8" t="str">
        <x:v>Identificadores, instituições, produtos/quantidades, datas e assinaturas; confirmar por tipo.</x:v>
      </x:c>
      <x:c r="I128" s="8" t="str">
        <x:v>Cabeçalho extraído; estrutura preservada no PDF</x:v>
      </x:c>
    </x:row>
    <x:row r="129" ht="84" customHeight="1">
      <x:c r="A129" s="8" t="str">
        <x:v>ED-0021</x:v>
      </x:c>
      <x:c r="B129" s="8" t="str">
        <x:v>DOC-0023</x:v>
      </x:c>
      <x:c r="C129" s="8" t="str">
        <x:v>Juína</x:v>
      </x:c>
      <x:c r="D129" s="8" t="str">
        <x:v>V</x:v>
      </x:c>
      <x:c r="E129" s="8" t="str">
        <x:v>RESULTADO DA CHAMADA PÚBLICA</x:v>
      </x:c>
      <x:c r="F129" s="8" t="n">
        <x:v>60</x:v>
      </x:c>
      <x:c r="G129" s="8" t="str">
        <x:v>PNAE_MT_2025/06_JUINA/DOC-0023_juara-indigenaedital--chamada-pUblica-2025pos-parecer-1docx-5sZw.pdf</x:v>
      </x:c>
      <x:c r="H129" s="8" t="str">
        <x:v>Identificadores, instituições, produtos/quantidades, datas e assinaturas; confirmar por tipo.</x:v>
      </x:c>
      <x:c r="I129" s="8" t="str">
        <x:v>Cabeçalho extraído; estrutura preservada no PDF</x:v>
      </x:c>
    </x:row>
    <x:row r="130" ht="84" customHeight="1">
      <x:c r="A130" s="8" t="str">
        <x:v>ED-0021</x:v>
      </x:c>
      <x:c r="B130" s="8" t="str">
        <x:v>DOC-0023</x:v>
      </x:c>
      <x:c r="C130" s="8" t="str">
        <x:v>Juína</x:v>
      </x:c>
      <x:c r="D130" s="8" t="str">
        <x:v>VI</x:v>
      </x:c>
      <x:c r="E130" s="8" t="str">
        <x:v>MINUTA TERMO DE CONTRATO Nº 0XX/202X/SEDUC/MT</x:v>
      </x:c>
      <x:c r="F130" s="8" t="n">
        <x:v>61</x:v>
      </x:c>
      <x:c r="G130" s="8" t="str">
        <x:v>PNAE_MT_2025/06_JUINA/DOC-0023_juara-indigenaedital--chamada-pUblica-2025pos-parecer-1docx-5sZw.pdf</x:v>
      </x:c>
      <x:c r="H130" s="8" t="str">
        <x:v>Identificadores, instituições, produtos/quantidades, datas e assinaturas; confirmar por tipo.</x:v>
      </x:c>
      <x:c r="I130" s="8" t="str">
        <x:v>Cabeçalho extraído; estrutura preservada no PDF</x:v>
      </x:c>
    </x:row>
    <x:row r="131" ht="84" customHeight="1">
      <x:c r="A131" s="8" t="str">
        <x:v>ED-0022</x:v>
      </x:c>
      <x:c r="B131" s="8" t="str">
        <x:v>DOC-0024</x:v>
      </x:c>
      <x:c r="C131" s="8" t="str">
        <x:v>Juína</x:v>
      </x:c>
      <x:c r="D131" s="8" t="str">
        <x:v>I</x:v>
      </x:c>
      <x:c r="E131" s="8" t="str">
        <x:v>PROJETOS DE VENDAS PARA OS FORNECEDORES INDIVIDUAIS</x:v>
      </x:c>
      <x:c r="F131" s="8" t="n">
        <x:v>53</x:v>
      </x:c>
      <x:c r="G131" s="8" t="str">
        <x:v>PNAE_MT_2025/06_JUINA/DOC-0024_juaraedital-docx-atRm.pdf</x:v>
      </x:c>
      <x:c r="H131" s="8" t="str">
        <x:v>Identificadores, instituições, produtos/quantidades, datas e assinaturas; confirmar por tipo.</x:v>
      </x:c>
      <x:c r="I131" s="8" t="str">
        <x:v>Cabeçalho extraído; estrutura preservada no PDF</x:v>
      </x:c>
    </x:row>
    <x:row r="132" ht="84" customHeight="1">
      <x:c r="A132" s="8" t="str">
        <x:v>ED-0022</x:v>
      </x:c>
      <x:c r="B132" s="8" t="str">
        <x:v>DOC-0024</x:v>
      </x:c>
      <x:c r="C132" s="8" t="str">
        <x:v>Juína</x:v>
      </x:c>
      <x:c r="D132" s="8" t="str">
        <x:v>II</x:v>
      </x:c>
      <x:c r="E132" s="8" t="str">
        <x:v>PROJETO DE VENDAS PARA OS GRUPOS INFORMAIS PROJETO DE VENDA DE GÊNEROS ALIMENTÍCIOS DA AGRICULTURA FAMILIAR PARA ALIMENTAÇÃO ESCOLAR/PNAE</x:v>
      </x:c>
      <x:c r="F132" s="8" t="n">
        <x:v>55</x:v>
      </x:c>
      <x:c r="G132" s="8" t="str">
        <x:v>PNAE_MT_2025/06_JUINA/DOC-0024_juaraedital-docx-atRm.pdf</x:v>
      </x:c>
      <x:c r="H132" s="8" t="str">
        <x:v>Identificadores, instituições, produtos/quantidades, datas e assinaturas; confirmar por tipo.</x:v>
      </x:c>
      <x:c r="I132" s="8" t="str">
        <x:v>Cabeçalho extraído; estrutura preservada no PDF</x:v>
      </x:c>
    </x:row>
    <x:row r="133" ht="84" customHeight="1">
      <x:c r="A133" s="8" t="str">
        <x:v>ED-0022</x:v>
      </x:c>
      <x:c r="B133" s="8" t="str">
        <x:v>DOC-0024</x:v>
      </x:c>
      <x:c r="C133" s="8" t="str">
        <x:v>Juína</x:v>
      </x:c>
      <x:c r="D133" s="8" t="str">
        <x:v>III</x:v>
      </x:c>
      <x:c r="E133" s="8" t="str">
        <x:v>PROJETO DE VENDAS PARA OS GRUPOS FORMAIS</x:v>
      </x:c>
      <x:c r="F133" s="8" t="n">
        <x:v>56</x:v>
      </x:c>
      <x:c r="G133" s="8" t="str">
        <x:v>PNAE_MT_2025/06_JUINA/DOC-0024_juaraedital-docx-atRm.pdf</x:v>
      </x:c>
      <x:c r="H133" s="8" t="str">
        <x:v>Identificadores, instituições, produtos/quantidades, datas e assinaturas; confirmar por tipo.</x:v>
      </x:c>
      <x:c r="I133" s="8" t="str">
        <x:v>Cabeçalho extraído; estrutura preservada no PDF</x:v>
      </x:c>
    </x:row>
    <x:row r="134" ht="84" customHeight="1">
      <x:c r="A134" s="8" t="str">
        <x:v>ED-0022</x:v>
      </x:c>
      <x:c r="B134" s="8" t="str">
        <x:v>DOC-0024</x:v>
      </x:c>
      <x:c r="C134" s="8" t="str">
        <x:v>Juína</x:v>
      </x:c>
      <x:c r="D134" s="8" t="str">
        <x:v>IV</x:v>
      </x:c>
      <x:c r="E134" s="8" t="str">
        <x:v>RELAÇÃO DAS UNIDADES ESCOLARES CONTEMPLADAS</x:v>
      </x:c>
      <x:c r="F134" s="8" t="n">
        <x:v>59</x:v>
      </x:c>
      <x:c r="G134" s="8" t="str">
        <x:v>PNAE_MT_2025/06_JUINA/DOC-0024_juaraedital-docx-atRm.pdf</x:v>
      </x:c>
      <x:c r="H134" s="8" t="str">
        <x:v>Identificadores, instituições, produtos/quantidades, datas e assinaturas; confirmar por tipo.</x:v>
      </x:c>
      <x:c r="I134" s="8" t="str">
        <x:v>Cabeçalho extraído; estrutura preservada no PDF</x:v>
      </x:c>
    </x:row>
    <x:row r="135" ht="84" customHeight="1">
      <x:c r="A135" s="8" t="str">
        <x:v>ED-0022</x:v>
      </x:c>
      <x:c r="B135" s="8" t="str">
        <x:v>DOC-0024</x:v>
      </x:c>
      <x:c r="C135" s="8" t="str">
        <x:v>Juína</x:v>
      </x:c>
      <x:c r="D135" s="8" t="str">
        <x:v>V</x:v>
      </x:c>
      <x:c r="E135" s="8" t="str">
        <x:v>RESULTADO DA CHAMADA PÚBLICA</x:v>
      </x:c>
      <x:c r="F135" s="8" t="n">
        <x:v>59</x:v>
      </x:c>
      <x:c r="G135" s="8" t="str">
        <x:v>PNAE_MT_2025/06_JUINA/DOC-0024_juaraedital-docx-atRm.pdf</x:v>
      </x:c>
      <x:c r="H135" s="8" t="str">
        <x:v>Identificadores, instituições, produtos/quantidades, datas e assinaturas; confirmar por tipo.</x:v>
      </x:c>
      <x:c r="I135" s="8" t="str">
        <x:v>Cabeçalho extraído; estrutura preservada no PDF</x:v>
      </x:c>
    </x:row>
    <x:row r="136" ht="84" customHeight="1">
      <x:c r="A136" s="8" t="str">
        <x:v>ED-0022</x:v>
      </x:c>
      <x:c r="B136" s="8" t="str">
        <x:v>DOC-0024</x:v>
      </x:c>
      <x:c r="C136" s="8" t="str">
        <x:v>Juína</x:v>
      </x:c>
      <x:c r="D136" s="8" t="str">
        <x:v>VI</x:v>
      </x:c>
      <x:c r="E136" s="8" t="str">
        <x:v>MINUTA TERMO DE CONTRATO Nº 0XX/202X/SEDUC/MT</x:v>
      </x:c>
      <x:c r="F136" s="8" t="n">
        <x:v>60</x:v>
      </x:c>
      <x:c r="G136" s="8" t="str">
        <x:v>PNAE_MT_2025/06_JUINA/DOC-0024_juaraedital-docx-atRm.pdf</x:v>
      </x:c>
      <x:c r="H136" s="8" t="str">
        <x:v>Identificadores, instituições, produtos/quantidades, datas e assinaturas; confirmar por tipo.</x:v>
      </x:c>
      <x:c r="I136" s="8" t="str">
        <x:v>Cabeçalho extraído; estrutura preservada no PDF</x:v>
      </x:c>
    </x:row>
    <x:row r="137" ht="84" customHeight="1">
      <x:c r="A137" s="8" t="str">
        <x:v>ED-0023</x:v>
      </x:c>
      <x:c r="B137" s="8" t="str">
        <x:v>DOC-0025</x:v>
      </x:c>
      <x:c r="C137" s="8" t="str">
        <x:v>Juína</x:v>
      </x:c>
      <x:c r="D137" s="8" t="str">
        <x:v>I</x:v>
      </x:c>
      <x:c r="E137" s="8" t="str">
        <x:v>PROJETOS DE VENDAS PARA OS FORNECEDORES INDIVIDUAIS</x:v>
      </x:c>
      <x:c r="F137" s="8" t="n">
        <x:v>53</x:v>
      </x:c>
      <x:c r="G137" s="8" t="str">
        <x:v>PNAE_MT_2025/06_JUINA/DOC-0025_colniza-chamada-pUblica-2025pos-parecer1docx-Wh1j.pdf</x:v>
      </x:c>
      <x:c r="H137" s="8" t="str">
        <x:v>Identificadores, instituições, produtos/quantidades, datas e assinaturas; confirmar por tipo.</x:v>
      </x:c>
      <x:c r="I137" s="8" t="str">
        <x:v>Cabeçalho extraído; estrutura preservada no PDF</x:v>
      </x:c>
    </x:row>
    <x:row r="138" ht="84" customHeight="1">
      <x:c r="A138" s="8" t="str">
        <x:v>ED-0023</x:v>
      </x:c>
      <x:c r="B138" s="8" t="str">
        <x:v>DOC-0025</x:v>
      </x:c>
      <x:c r="C138" s="8" t="str">
        <x:v>Juína</x:v>
      </x:c>
      <x:c r="D138" s="8" t="str">
        <x:v>II</x:v>
      </x:c>
      <x:c r="E138" s="8" t="str">
        <x:v>PROJETO DE VENDAS PARA OS GRUPOS INFORMAIS PROJETO DE VENDA DE GÊNEROS ALIMENTÍCIOS DA AGRICULTURA FAMILIAR PARA ALIMENTAÇÃO ESCOLAR/PNAE</x:v>
      </x:c>
      <x:c r="F138" s="8" t="n">
        <x:v>55</x:v>
      </x:c>
      <x:c r="G138" s="8" t="str">
        <x:v>PNAE_MT_2025/06_JUINA/DOC-0025_colniza-chamada-pUblica-2025pos-parecer1docx-Wh1j.pdf</x:v>
      </x:c>
      <x:c r="H138" s="8" t="str">
        <x:v>Identificadores, instituições, produtos/quantidades, datas e assinaturas; confirmar por tipo.</x:v>
      </x:c>
      <x:c r="I138" s="8" t="str">
        <x:v>Cabeçalho extraído; estrutura preservada no PDF</x:v>
      </x:c>
    </x:row>
    <x:row r="139" ht="84" customHeight="1">
      <x:c r="A139" s="8" t="str">
        <x:v>ED-0023</x:v>
      </x:c>
      <x:c r="B139" s="8" t="str">
        <x:v>DOC-0025</x:v>
      </x:c>
      <x:c r="C139" s="8" t="str">
        <x:v>Juína</x:v>
      </x:c>
      <x:c r="D139" s="8" t="str">
        <x:v>III</x:v>
      </x:c>
      <x:c r="E139" s="8" t="str">
        <x:v>PROJETO DE VENDAS PARA OS GRUPOS FORMAIS</x:v>
      </x:c>
      <x:c r="F139" s="8" t="n">
        <x:v>56</x:v>
      </x:c>
      <x:c r="G139" s="8" t="str">
        <x:v>PNAE_MT_2025/06_JUINA/DOC-0025_colniza-chamada-pUblica-2025pos-parecer1docx-Wh1j.pdf</x:v>
      </x:c>
      <x:c r="H139" s="8" t="str">
        <x:v>Identificadores, instituições, produtos/quantidades, datas e assinaturas; confirmar por tipo.</x:v>
      </x:c>
      <x:c r="I139" s="8" t="str">
        <x:v>Cabeçalho extraído; estrutura preservada no PDF</x:v>
      </x:c>
    </x:row>
    <x:row r="140" ht="84" customHeight="1">
      <x:c r="A140" s="8" t="str">
        <x:v>ED-0023</x:v>
      </x:c>
      <x:c r="B140" s="8" t="str">
        <x:v>DOC-0025</x:v>
      </x:c>
      <x:c r="C140" s="8" t="str">
        <x:v>Juína</x:v>
      </x:c>
      <x:c r="D140" s="8" t="str">
        <x:v>IV</x:v>
      </x:c>
      <x:c r="E140" s="8" t="str">
        <x:v>RELAÇÃO DAS UNIDADES ESCOLARES CONTEMPLADAS</x:v>
      </x:c>
      <x:c r="F140" s="8" t="n">
        <x:v>59</x:v>
      </x:c>
      <x:c r="G140" s="8" t="str">
        <x:v>PNAE_MT_2025/06_JUINA/DOC-0025_colniza-chamada-pUblica-2025pos-parecer1docx-Wh1j.pdf</x:v>
      </x:c>
      <x:c r="H140" s="8" t="str">
        <x:v>Identificadores, instituições, produtos/quantidades, datas e assinaturas; confirmar por tipo.</x:v>
      </x:c>
      <x:c r="I140" s="8" t="str">
        <x:v>Cabeçalho extraído; estrutura preservada no PDF</x:v>
      </x:c>
    </x:row>
    <x:row r="141" ht="84" customHeight="1">
      <x:c r="A141" s="8" t="str">
        <x:v>ED-0023</x:v>
      </x:c>
      <x:c r="B141" s="8" t="str">
        <x:v>DOC-0025</x:v>
      </x:c>
      <x:c r="C141" s="8" t="str">
        <x:v>Juína</x:v>
      </x:c>
      <x:c r="D141" s="8" t="str">
        <x:v>V</x:v>
      </x:c>
      <x:c r="E141" s="8" t="str">
        <x:v>RESULTADO DA CHAMADA PÚBLICA</x:v>
      </x:c>
      <x:c r="F141" s="8" t="n">
        <x:v>59</x:v>
      </x:c>
      <x:c r="G141" s="8" t="str">
        <x:v>PNAE_MT_2025/06_JUINA/DOC-0025_colniza-chamada-pUblica-2025pos-parecer1docx-Wh1j.pdf</x:v>
      </x:c>
      <x:c r="H141" s="8" t="str">
        <x:v>Identificadores, instituições, produtos/quantidades, datas e assinaturas; confirmar por tipo.</x:v>
      </x:c>
      <x:c r="I141" s="8" t="str">
        <x:v>Cabeçalho extraído; estrutura preservada no PDF</x:v>
      </x:c>
    </x:row>
    <x:row r="142" ht="84" customHeight="1">
      <x:c r="A142" s="8" t="str">
        <x:v>ED-0023</x:v>
      </x:c>
      <x:c r="B142" s="8" t="str">
        <x:v>DOC-0025</x:v>
      </x:c>
      <x:c r="C142" s="8" t="str">
        <x:v>Juína</x:v>
      </x:c>
      <x:c r="D142" s="8" t="str">
        <x:v>VI</x:v>
      </x:c>
      <x:c r="E142" s="8" t="str">
        <x:v>MINUTA TERMO DE CONTRATO Nº 0XX/202X/SEDUC/MT</x:v>
      </x:c>
      <x:c r="F142" s="8" t="n">
        <x:v>60</x:v>
      </x:c>
      <x:c r="G142" s="8" t="str">
        <x:v>PNAE_MT_2025/06_JUINA/DOC-0025_colniza-chamada-pUblica-2025pos-parecer1docx-Wh1j.pdf</x:v>
      </x:c>
      <x:c r="H142" s="8" t="str">
        <x:v>Identificadores, instituições, produtos/quantidades, datas e assinaturas; confirmar por tipo.</x:v>
      </x:c>
      <x:c r="I142" s="8" t="str">
        <x:v>Cabeçalho extraído; estrutura preservada no PDF</x:v>
      </x:c>
    </x:row>
    <x:row r="143" ht="84" customHeight="1">
      <x:c r="A143" s="8" t="str">
        <x:v>ED-0024</x:v>
      </x:c>
      <x:c r="B143" s="8" t="str">
        <x:v>DOC-0026</x:v>
      </x:c>
      <x:c r="C143" s="8" t="str">
        <x:v>Juína</x:v>
      </x:c>
      <x:c r="D143" s="8" t="str">
        <x:v>I</x:v>
      </x:c>
      <x:c r="E143" s="8" t="str">
        <x:v>PROJETOS DE VENDAS PARA OS FORNECEDORES INDIVIDUAIS</x:v>
      </x:c>
      <x:c r="F143" s="8" t="n">
        <x:v>53</x:v>
      </x:c>
      <x:c r="G143" s="8" t="str">
        <x:v>PNAE_MT_2025/06_JUINA/DOC-0026_aripuana-edital--chamada-pUblica-2025pos-parecerdocx-1-gKjW.pdf</x:v>
      </x:c>
      <x:c r="H143" s="8" t="str">
        <x:v>Identificadores, instituições, produtos/quantidades, datas e assinaturas; confirmar por tipo.</x:v>
      </x:c>
      <x:c r="I143" s="8" t="str">
        <x:v>Cabeçalho extraído; estrutura preservada no PDF</x:v>
      </x:c>
    </x:row>
    <x:row r="144" ht="84" customHeight="1">
      <x:c r="A144" s="8" t="str">
        <x:v>ED-0024</x:v>
      </x:c>
      <x:c r="B144" s="8" t="str">
        <x:v>DOC-0026</x:v>
      </x:c>
      <x:c r="C144" s="8" t="str">
        <x:v>Juína</x:v>
      </x:c>
      <x:c r="D144" s="8" t="str">
        <x:v>II</x:v>
      </x:c>
      <x:c r="E144" s="8" t="str">
        <x:v>PROJETO DE VENDAS PARA OS GRUPOS INFORMAIS PROJETO DE VENDA DE GÊNEROS ALIMENTÍCIOS DA AGRICULTURA FAMILIAR PARA ALIMENTAÇÃO ESCOLAR/PNAE</x:v>
      </x:c>
      <x:c r="F144" s="8" t="n">
        <x:v>56</x:v>
      </x:c>
      <x:c r="G144" s="8" t="str">
        <x:v>PNAE_MT_2025/06_JUINA/DOC-0026_aripuana-edital--chamada-pUblica-2025pos-parecerdocx-1-gKjW.pdf</x:v>
      </x:c>
      <x:c r="H144" s="8" t="str">
        <x:v>Identificadores, instituições, produtos/quantidades, datas e assinaturas; confirmar por tipo.</x:v>
      </x:c>
      <x:c r="I144" s="8" t="str">
        <x:v>Cabeçalho extraído; estrutura preservada no PDF</x:v>
      </x:c>
    </x:row>
    <x:row r="145" ht="84" customHeight="1">
      <x:c r="A145" s="8" t="str">
        <x:v>ED-0024</x:v>
      </x:c>
      <x:c r="B145" s="8" t="str">
        <x:v>DOC-0026</x:v>
      </x:c>
      <x:c r="C145" s="8" t="str">
        <x:v>Juína</x:v>
      </x:c>
      <x:c r="D145" s="8" t="str">
        <x:v>III</x:v>
      </x:c>
      <x:c r="E145" s="8" t="str">
        <x:v>PROJETO DE VENDAS PARA OS GRUPOS FORMAIS</x:v>
      </x:c>
      <x:c r="F145" s="8" t="n">
        <x:v>57</x:v>
      </x:c>
      <x:c r="G145" s="8" t="str">
        <x:v>PNAE_MT_2025/06_JUINA/DOC-0026_aripuana-edital--chamada-pUblica-2025pos-parecerdocx-1-gKjW.pdf</x:v>
      </x:c>
      <x:c r="H145" s="8" t="str">
        <x:v>Identificadores, instituições, produtos/quantidades, datas e assinaturas; confirmar por tipo.</x:v>
      </x:c>
      <x:c r="I145" s="8" t="str">
        <x:v>Cabeçalho extraído; estrutura preservada no PDF</x:v>
      </x:c>
    </x:row>
    <x:row r="146" ht="84" customHeight="1">
      <x:c r="A146" s="8" t="str">
        <x:v>ED-0024</x:v>
      </x:c>
      <x:c r="B146" s="8" t="str">
        <x:v>DOC-0026</x:v>
      </x:c>
      <x:c r="C146" s="8" t="str">
        <x:v>Juína</x:v>
      </x:c>
      <x:c r="D146" s="8" t="str">
        <x:v>IV</x:v>
      </x:c>
      <x:c r="E146" s="8" t="str">
        <x:v>RELAÇÃO DAS UNIDADES ESCOLARES CONTEMPLADAS</x:v>
      </x:c>
      <x:c r="F146" s="8" t="n">
        <x:v>60</x:v>
      </x:c>
      <x:c r="G146" s="8" t="str">
        <x:v>PNAE_MT_2025/06_JUINA/DOC-0026_aripuana-edital--chamada-pUblica-2025pos-parecerdocx-1-gKjW.pdf</x:v>
      </x:c>
      <x:c r="H146" s="8" t="str">
        <x:v>Identificadores, instituições, produtos/quantidades, datas e assinaturas; confirmar por tipo.</x:v>
      </x:c>
      <x:c r="I146" s="8" t="str">
        <x:v>Cabeçalho extraído; estrutura preservada no PDF</x:v>
      </x:c>
    </x:row>
    <x:row r="147" ht="84" customHeight="1">
      <x:c r="A147" s="8" t="str">
        <x:v>ED-0024</x:v>
      </x:c>
      <x:c r="B147" s="8" t="str">
        <x:v>DOC-0026</x:v>
      </x:c>
      <x:c r="C147" s="8" t="str">
        <x:v>Juína</x:v>
      </x:c>
      <x:c r="D147" s="8" t="str">
        <x:v>V</x:v>
      </x:c>
      <x:c r="E147" s="8" t="str">
        <x:v>RESULTADO DA CHAMADA PÚBLICA</x:v>
      </x:c>
      <x:c r="F147" s="8" t="n">
        <x:v>60</x:v>
      </x:c>
      <x:c r="G147" s="8" t="str">
        <x:v>PNAE_MT_2025/06_JUINA/DOC-0026_aripuana-edital--chamada-pUblica-2025pos-parecerdocx-1-gKjW.pdf</x:v>
      </x:c>
      <x:c r="H147" s="8" t="str">
        <x:v>Identificadores, instituições, produtos/quantidades, datas e assinaturas; confirmar por tipo.</x:v>
      </x:c>
      <x:c r="I147" s="8" t="str">
        <x:v>Cabeçalho extraído; estrutura preservada no PDF</x:v>
      </x:c>
    </x:row>
    <x:row r="148" ht="84" customHeight="1">
      <x:c r="A148" s="8" t="str">
        <x:v>ED-0024</x:v>
      </x:c>
      <x:c r="B148" s="8" t="str">
        <x:v>DOC-0026</x:v>
      </x:c>
      <x:c r="C148" s="8" t="str">
        <x:v>Juína</x:v>
      </x:c>
      <x:c r="D148" s="8" t="str">
        <x:v>VI</x:v>
      </x:c>
      <x:c r="E148" s="8" t="str">
        <x:v>MINUTA TERMO DE CONTRATO Nº 0XX/202X/SEDUC/MT</x:v>
      </x:c>
      <x:c r="F148" s="8" t="n">
        <x:v>61</x:v>
      </x:c>
      <x:c r="G148" s="8" t="str">
        <x:v>PNAE_MT_2025/06_JUINA/DOC-0026_aripuana-edital--chamada-pUblica-2025pos-parecerdocx-1-gKjW.pdf</x:v>
      </x:c>
      <x:c r="H148" s="8" t="str">
        <x:v>Identificadores, instituições, produtos/quantidades, datas e assinaturas; confirmar por tipo.</x:v>
      </x:c>
      <x:c r="I148" s="8" t="str">
        <x:v>Cabeçalho extraído; estrutura preservada no PDF</x:v>
      </x:c>
    </x:row>
    <x:row r="149" ht="84" customHeight="1">
      <x:c r="A149" s="8" t="str">
        <x:v>ED-0046</x:v>
      </x:c>
      <x:c r="B149" s="8" t="str">
        <x:v>DOC-0050</x:v>
      </x:c>
      <x:c r="C149" s="8" t="str">
        <x:v>Primavera do Leste</x:v>
      </x:c>
      <x:c r="D149" s="8" t="str">
        <x:v>I</x:v>
      </x:c>
      <x:c r="E149" s="8" t="str">
        <x:v>PROJETOS DE VENDAS PARA OS FORNECEDORES INDIVIDUAIS</x:v>
      </x:c>
      <x:c r="F149" s="8" t="n">
        <x:v>23</x:v>
      </x:c>
      <x:c r="G149" s="8" t="str">
        <x:v>PNAE_MT_2025/10_PRIMAVERA_DO_LESTE/DOC-0050_DOC-0050.pdf</x:v>
      </x:c>
      <x:c r="H149" s="8" t="str">
        <x:v>Identificadores, instituições, produtos/quantidades, datas e assinaturas; confirmar por tipo.</x:v>
      </x:c>
      <x:c r="I149" s="8" t="str">
        <x:v>Cabeçalho extraído; estrutura preservada no PDF</x:v>
      </x:c>
    </x:row>
    <x:row r="150" ht="84" customHeight="1">
      <x:c r="A150" s="8" t="str">
        <x:v>ED-0046</x:v>
      </x:c>
      <x:c r="B150" s="8" t="str">
        <x:v>DOC-0050</x:v>
      </x:c>
      <x:c r="C150" s="8" t="str">
        <x:v>Primavera do Leste</x:v>
      </x:c>
      <x:c r="D150" s="8" t="str">
        <x:v>II</x:v>
      </x:c>
      <x:c r="E150" s="8" t="str">
        <x:v>PROJETO DE VENDAS PARA OS GRUPOS INFORMAIS PROJETO DE VENDA DE GÊNEROS ALIMENTÍCIOS DA AGRICULTURA FAMILIAR PARA ALIMENTAÇÃO ESCOLAR/PNAE</x:v>
      </x:c>
      <x:c r="F150" s="8" t="n">
        <x:v>25</x:v>
      </x:c>
      <x:c r="G150" s="8" t="str">
        <x:v>PNAE_MT_2025/10_PRIMAVERA_DO_LESTE/DOC-0050_DOC-0050.pdf</x:v>
      </x:c>
      <x:c r="H150" s="8" t="str">
        <x:v>Identificadores, instituições, produtos/quantidades, datas e assinaturas; confirmar por tipo.</x:v>
      </x:c>
      <x:c r="I150" s="8" t="str">
        <x:v>Cabeçalho extraído; estrutura preservada no PDF</x:v>
      </x:c>
    </x:row>
    <x:row r="151" ht="84" customHeight="1">
      <x:c r="A151" s="8" t="str">
        <x:v>ED-0046</x:v>
      </x:c>
      <x:c r="B151" s="8" t="str">
        <x:v>DOC-0050</x:v>
      </x:c>
      <x:c r="C151" s="8" t="str">
        <x:v>Primavera do Leste</x:v>
      </x:c>
      <x:c r="D151" s="8" t="str">
        <x:v>III</x:v>
      </x:c>
      <x:c r="E151" s="8" t="str">
        <x:v>PROJETO DE VENDAS PARA OS GRUPOS FORMAIS</x:v>
      </x:c>
      <x:c r="F151" s="8" t="n">
        <x:v>27</x:v>
      </x:c>
      <x:c r="G151" s="8" t="str">
        <x:v>PNAE_MT_2025/10_PRIMAVERA_DO_LESTE/DOC-0050_DOC-0050.pdf</x:v>
      </x:c>
      <x:c r="H151" s="8" t="str">
        <x:v>Identificadores, instituições, produtos/quantidades, datas e assinaturas; confirmar por tipo.</x:v>
      </x:c>
      <x:c r="I151" s="8" t="str">
        <x:v>Cabeçalho extraído; estrutura preservada no PDF</x:v>
      </x:c>
    </x:row>
    <x:row r="152" ht="84" customHeight="1">
      <x:c r="A152" s="8" t="str">
        <x:v>ED-0046</x:v>
      </x:c>
      <x:c r="B152" s="8" t="str">
        <x:v>DOC-0050</x:v>
      </x:c>
      <x:c r="C152" s="8" t="str">
        <x:v>Primavera do Leste</x:v>
      </x:c>
      <x:c r="D152" s="8" t="str">
        <x:v>IV</x:v>
      </x:c>
      <x:c r="E152" s="8" t="str">
        <x:v>RELAÇÃO DAS UNIDADES ESCOLARES COMTEMPLADAS</x:v>
      </x:c>
      <x:c r="F152" s="8" t="n">
        <x:v>30</x:v>
      </x:c>
      <x:c r="G152" s="8" t="str">
        <x:v>PNAE_MT_2025/10_PRIMAVERA_DO_LESTE/DOC-0050_DOC-0050.pdf</x:v>
      </x:c>
      <x:c r="H152" s="8" t="str">
        <x:v>Identificadores, instituições, produtos/quantidades, datas e assinaturas; confirmar por tipo.</x:v>
      </x:c>
      <x:c r="I152" s="8" t="str">
        <x:v>Cabeçalho extraído; estrutura preservada no PDF</x:v>
      </x:c>
    </x:row>
    <x:row r="153" ht="84" customHeight="1">
      <x:c r="A153" s="8" t="str">
        <x:v>ED-0046</x:v>
      </x:c>
      <x:c r="B153" s="8" t="str">
        <x:v>DOC-0050</x:v>
      </x:c>
      <x:c r="C153" s="8" t="str">
        <x:v>Primavera do Leste</x:v>
      </x:c>
      <x:c r="D153" s="8" t="str">
        <x:v>V</x:v>
      </x:c>
      <x:c r="E153" s="8" t="str">
        <x:v>RESULTADO DA CHAMADA PÚBLICA</x:v>
      </x:c>
      <x:c r="F153" s="8" t="n">
        <x:v>32</x:v>
      </x:c>
      <x:c r="G153" s="8" t="str">
        <x:v>PNAE_MT_2025/10_PRIMAVERA_DO_LESTE/DOC-0050_DOC-0050.pdf</x:v>
      </x:c>
      <x:c r="H153" s="8" t="str">
        <x:v>Identificadores, instituições, produtos/quantidades, datas e assinaturas; confirmar por tipo.</x:v>
      </x:c>
      <x:c r="I153" s="8" t="str">
        <x:v>Cabeçalho extraído; estrutura preservada no PDF</x:v>
      </x:c>
    </x:row>
    <x:row r="154" ht="84" customHeight="1">
      <x:c r="A154" s="8" t="str">
        <x:v>ED-0046</x:v>
      </x:c>
      <x:c r="B154" s="8" t="str">
        <x:v>DOC-0050</x:v>
      </x:c>
      <x:c r="C154" s="8" t="str">
        <x:v>Primavera do Leste</x:v>
      </x:c>
      <x:c r="D154" s="8" t="str">
        <x:v>VI</x:v>
      </x:c>
      <x:c r="E154" s="8" t="str">
        <x:v>MINUTA TERMO DE CONTRATO Nº 0XX/202X/SEDUC/MT</x:v>
      </x:c>
      <x:c r="F154" s="8" t="n">
        <x:v>33</x:v>
      </x:c>
      <x:c r="G154" s="8" t="str">
        <x:v>PNAE_MT_2025/10_PRIMAVERA_DO_LESTE/DOC-0050_DOC-0050.pdf</x:v>
      </x:c>
      <x:c r="H154" s="8" t="str">
        <x:v>Identificadores, instituições, produtos/quantidades, datas e assinaturas; confirmar por tipo.</x:v>
      </x:c>
      <x:c r="I154" s="8" t="str">
        <x:v>Cabeçalho extraído; estrutura preservada no PDF</x:v>
      </x:c>
    </x:row>
    <x:row r="155" ht="84" customHeight="1">
      <x:c r="A155" s="8" t="str">
        <x:v>ED-0061</x:v>
      </x:c>
      <x:c r="B155" s="8" t="str">
        <x:v>DOC-0069</x:v>
      </x:c>
      <x:c r="C155" s="8" t="str">
        <x:v>Primavera do Leste</x:v>
      </x:c>
      <x:c r="D155" s="8" t="str">
        <x:v>I</x:v>
      </x:c>
      <x:c r="E155" s="8" t="str">
        <x:v>PROJETOS DE VENDAS PARA OS FORNECEDORES INDIVIDUAIS</x:v>
      </x:c>
      <x:c r="F155" s="8" t="n">
        <x:v>22</x:v>
      </x:c>
      <x:c r="G155" s="8" t="str">
        <x:v>PNAE_MT_2025/10_PRIMAVERA_DO_LESTE/DOC-0069_DOC-0069.pdf</x:v>
      </x:c>
      <x:c r="H155" s="8" t="str">
        <x:v>Identificadores, instituições, produtos/quantidades, datas e assinaturas; confirmar por tipo.</x:v>
      </x:c>
      <x:c r="I155" s="8" t="str">
        <x:v>Cabeçalho extraído; estrutura preservada no PDF</x:v>
      </x:c>
    </x:row>
    <x:row r="156" ht="84" customHeight="1">
      <x:c r="A156" s="8" t="str">
        <x:v>ED-0061</x:v>
      </x:c>
      <x:c r="B156" s="8" t="str">
        <x:v>DOC-0069</x:v>
      </x:c>
      <x:c r="C156" s="8" t="str">
        <x:v>Primavera do Leste</x:v>
      </x:c>
      <x:c r="D156" s="8" t="str">
        <x:v>II</x:v>
      </x:c>
      <x:c r="E156" s="8" t="str">
        <x:v>PROJETO DE VENDAS PARA OS GRUPOS INFORMAIS PROJETO DE VENDA DE GÊNEROS ALIMENTÍCIOS DA AGRICULTURA FAMILIAR PARA ALIMENTAÇÃO ESCOLAR/PNAE</x:v>
      </x:c>
      <x:c r="F156" s="8" t="n">
        <x:v>24</x:v>
      </x:c>
      <x:c r="G156" s="8" t="str">
        <x:v>PNAE_MT_2025/10_PRIMAVERA_DO_LESTE/DOC-0069_DOC-0069.pdf</x:v>
      </x:c>
      <x:c r="H156" s="8" t="str">
        <x:v>Identificadores, instituições, produtos/quantidades, datas e assinaturas; confirmar por tipo.</x:v>
      </x:c>
      <x:c r="I156" s="8" t="str">
        <x:v>Cabeçalho extraído; estrutura preservada no PDF</x:v>
      </x:c>
    </x:row>
    <x:row r="157" ht="84" customHeight="1">
      <x:c r="A157" s="8" t="str">
        <x:v>ED-0061</x:v>
      </x:c>
      <x:c r="B157" s="8" t="str">
        <x:v>DOC-0069</x:v>
      </x:c>
      <x:c r="C157" s="8" t="str">
        <x:v>Primavera do Leste</x:v>
      </x:c>
      <x:c r="D157" s="8" t="str">
        <x:v>III</x:v>
      </x:c>
      <x:c r="E157" s="8" t="str">
        <x:v>PROJETO DE VENDAS PARA OS GRUPOS FORMAIS</x:v>
      </x:c>
      <x:c r="F157" s="8" t="n">
        <x:v>25</x:v>
      </x:c>
      <x:c r="G157" s="8" t="str">
        <x:v>PNAE_MT_2025/10_PRIMAVERA_DO_LESTE/DOC-0069_DOC-0069.pdf</x:v>
      </x:c>
      <x:c r="H157" s="8" t="str">
        <x:v>Identificadores, instituições, produtos/quantidades, datas e assinaturas; confirmar por tipo.</x:v>
      </x:c>
      <x:c r="I157" s="8" t="str">
        <x:v>Cabeçalho extraído; estrutura preservada no PDF</x:v>
      </x:c>
    </x:row>
    <x:row r="158" ht="84" customHeight="1">
      <x:c r="A158" s="8" t="str">
        <x:v>ED-0061</x:v>
      </x:c>
      <x:c r="B158" s="8" t="str">
        <x:v>DOC-0069</x:v>
      </x:c>
      <x:c r="C158" s="8" t="str">
        <x:v>Primavera do Leste</x:v>
      </x:c>
      <x:c r="D158" s="8" t="str">
        <x:v>IV</x:v>
      </x:c>
      <x:c r="E158" s="8" t="str">
        <x:v>RELAÇÃO DAS UNIDADES ESCOLARES CONTEMPLADAS</x:v>
      </x:c>
      <x:c r="F158" s="8" t="n">
        <x:v>28</x:v>
      </x:c>
      <x:c r="G158" s="8" t="str">
        <x:v>PNAE_MT_2025/10_PRIMAVERA_DO_LESTE/DOC-0069_DOC-0069.pdf</x:v>
      </x:c>
      <x:c r="H158" s="8" t="str">
        <x:v>Identificadores, instituições, produtos/quantidades, datas e assinaturas; confirmar por tipo.</x:v>
      </x:c>
      <x:c r="I158" s="8" t="str">
        <x:v>Cabeçalho extraído; estrutura preservada no PDF</x:v>
      </x:c>
    </x:row>
    <x:row r="159" ht="84" customHeight="1">
      <x:c r="A159" s="8" t="str">
        <x:v>ED-0061</x:v>
      </x:c>
      <x:c r="B159" s="8" t="str">
        <x:v>DOC-0069</x:v>
      </x:c>
      <x:c r="C159" s="8" t="str">
        <x:v>Primavera do Leste</x:v>
      </x:c>
      <x:c r="D159" s="8" t="str">
        <x:v>V</x:v>
      </x:c>
      <x:c r="E159" s="8" t="str">
        <x:v>28</x:v>
      </x:c>
      <x:c r="F159" s="8" t="n">
        <x:v>28</x:v>
      </x:c>
      <x:c r="G159" s="8" t="str">
        <x:v>PNAE_MT_2025/10_PRIMAVERA_DO_LESTE/DOC-0069_DOC-0069.pdf</x:v>
      </x:c>
      <x:c r="H159" s="8" t="str">
        <x:v>Identificadores, instituições, produtos/quantidades, datas e assinaturas; confirmar por tipo.</x:v>
      </x:c>
      <x:c r="I159" s="8" t="str">
        <x:v>Cabeçalho extraído; estrutura preservada no PDF</x:v>
      </x:c>
    </x:row>
    <x:row r="160" ht="84" customHeight="1">
      <x:c r="A160" s="8" t="str">
        <x:v>ED-0061</x:v>
      </x:c>
      <x:c r="B160" s="8" t="str">
        <x:v>DOC-0069</x:v>
      </x:c>
      <x:c r="C160" s="8" t="str">
        <x:v>Primavera do Leste</x:v>
      </x:c>
      <x:c r="D160" s="8" t="str">
        <x:v>VI</x:v>
      </x:c>
      <x:c r="E160" s="8" t="str"/>
      <x:c r="F160" s="8" t="n">
        <x:v>29</x:v>
      </x:c>
      <x:c r="G160" s="8" t="str">
        <x:v>PNAE_MT_2025/10_PRIMAVERA_DO_LESTE/DOC-0069_DOC-0069.pdf</x:v>
      </x:c>
      <x:c r="H160" s="8" t="str">
        <x:v>Identificadores, instituições, produtos/quantidades, datas e assinaturas; confirmar por tipo.</x:v>
      </x:c>
      <x:c r="I160" s="8" t="str">
        <x:v>Cabeçalho extraído; estrutura preservada no PDF</x:v>
      </x:c>
    </x:row>
    <x:row r="161" ht="84" customHeight="1">
      <x:c r="A161" s="8" t="str">
        <x:v>ED-0062</x:v>
      </x:c>
      <x:c r="B161" s="8" t="str">
        <x:v>DOC-0070</x:v>
      </x:c>
      <x:c r="C161" s="8" t="str">
        <x:v>Sinop</x:v>
      </x:c>
      <x:c r="D161" s="8" t="str">
        <x:v>I</x:v>
      </x:c>
      <x:c r="E161" s="8" t="str">
        <x:v>PROJETOS DE VENDAS PARA OS FORNECEDORES INDIVIDUAIS</x:v>
      </x:c>
      <x:c r="F161" s="8" t="n">
        <x:v>30</x:v>
      </x:c>
      <x:c r="G161" s="8" t="str">
        <x:v>PNAE_MT_2025/12_SINOP/DOC-0070_f8345a8a-c33f-4788-bfe9-fb15c23010b8.pdf</x:v>
      </x:c>
      <x:c r="H161" s="8" t="str">
        <x:v>Identificadores, instituições, produtos/quantidades, datas e assinaturas; confirmar por tipo.</x:v>
      </x:c>
      <x:c r="I161" s="8" t="str">
        <x:v>Cabeçalho extraído; estrutura preservada no PDF</x:v>
      </x:c>
    </x:row>
    <x:row r="162" ht="84" customHeight="1">
      <x:c r="A162" s="8" t="str">
        <x:v>ED-0062</x:v>
      </x:c>
      <x:c r="B162" s="8" t="str">
        <x:v>DOC-0070</x:v>
      </x:c>
      <x:c r="C162" s="8" t="str">
        <x:v>Sinop</x:v>
      </x:c>
      <x:c r="D162" s="8" t="str">
        <x:v>II</x:v>
      </x:c>
      <x:c r="E162" s="8" t="str">
        <x:v>PROJETO DE VENDAS PARA OS GRUPOS INFORMAIS PROJETO DE VENDA DE GÊNEROS ALIMENTÍCIOS DA AGRICULTURA FAMILIAR PARA ALIMENTAÇÃO ESCOLAR/PNAE</x:v>
      </x:c>
      <x:c r="F162" s="8" t="n">
        <x:v>32</x:v>
      </x:c>
      <x:c r="G162" s="8" t="str">
        <x:v>PNAE_MT_2025/12_SINOP/DOC-0070_f8345a8a-c33f-4788-bfe9-fb15c23010b8.pdf</x:v>
      </x:c>
      <x:c r="H162" s="8" t="str">
        <x:v>Identificadores, instituições, produtos/quantidades, datas e assinaturas; confirmar por tipo.</x:v>
      </x:c>
      <x:c r="I162" s="8" t="str">
        <x:v>Cabeçalho extraído; estrutura preservada no PDF</x:v>
      </x:c>
    </x:row>
    <x:row r="163" ht="84" customHeight="1">
      <x:c r="A163" s="8" t="str">
        <x:v>ED-0062</x:v>
      </x:c>
      <x:c r="B163" s="8" t="str">
        <x:v>DOC-0070</x:v>
      </x:c>
      <x:c r="C163" s="8" t="str">
        <x:v>Sinop</x:v>
      </x:c>
      <x:c r="D163" s="8" t="str">
        <x:v>III</x:v>
      </x:c>
      <x:c r="E163" s="8" t="str">
        <x:v>PROJETO DE VENDAS PARA OS GRUPOS FORMAIS</x:v>
      </x:c>
      <x:c r="F163" s="8" t="n">
        <x:v>34</x:v>
      </x:c>
      <x:c r="G163" s="8" t="str">
        <x:v>PNAE_MT_2025/12_SINOP/DOC-0070_f8345a8a-c33f-4788-bfe9-fb15c23010b8.pdf</x:v>
      </x:c>
      <x:c r="H163" s="8" t="str">
        <x:v>Identificadores, instituições, produtos/quantidades, datas e assinaturas; confirmar por tipo.</x:v>
      </x:c>
      <x:c r="I163" s="8" t="str">
        <x:v>Cabeçalho extraído; estrutura preservada no PDF</x:v>
      </x:c>
    </x:row>
    <x:row r="164" ht="84" customHeight="1">
      <x:c r="A164" s="8" t="str">
        <x:v>ED-0062</x:v>
      </x:c>
      <x:c r="B164" s="8" t="str">
        <x:v>DOC-0070</x:v>
      </x:c>
      <x:c r="C164" s="8" t="str">
        <x:v>Sinop</x:v>
      </x:c>
      <x:c r="D164" s="8" t="str">
        <x:v>IV</x:v>
      </x:c>
      <x:c r="E164" s="8" t="str">
        <x:v>RELAÇÃO DAS UNIDADES ESCOLARES CONTEMPLADAS</x:v>
      </x:c>
      <x:c r="F164" s="8" t="n">
        <x:v>36</x:v>
      </x:c>
      <x:c r="G164" s="8" t="str">
        <x:v>PNAE_MT_2025/12_SINOP/DOC-0070_f8345a8a-c33f-4788-bfe9-fb15c23010b8.pdf</x:v>
      </x:c>
      <x:c r="H164" s="8" t="str">
        <x:v>Identificadores, instituições, produtos/quantidades, datas e assinaturas; confirmar por tipo.</x:v>
      </x:c>
      <x:c r="I164" s="8" t="str">
        <x:v>Cabeçalho extraído; estrutura preservada no PDF</x:v>
      </x:c>
    </x:row>
    <x:row r="165" ht="84" customHeight="1">
      <x:c r="A165" s="8" t="str">
        <x:v>ED-0062</x:v>
      </x:c>
      <x:c r="B165" s="8" t="str">
        <x:v>DOC-0070</x:v>
      </x:c>
      <x:c r="C165" s="8" t="str">
        <x:v>Sinop</x:v>
      </x:c>
      <x:c r="D165" s="8" t="str">
        <x:v>V</x:v>
      </x:c>
      <x:c r="E165" s="8" t="str">
        <x:v>RESULTADO DA CHAMADA PÚBLICA</x:v>
      </x:c>
      <x:c r="F165" s="8" t="n">
        <x:v>38</x:v>
      </x:c>
      <x:c r="G165" s="8" t="str">
        <x:v>PNAE_MT_2025/12_SINOP/DOC-0070_f8345a8a-c33f-4788-bfe9-fb15c23010b8.pdf</x:v>
      </x:c>
      <x:c r="H165" s="8" t="str">
        <x:v>Identificadores, instituições, produtos/quantidades, datas e assinaturas; confirmar por tipo.</x:v>
      </x:c>
      <x:c r="I165" s="8" t="str">
        <x:v>Cabeçalho extraído; estrutura preservada no PDF</x:v>
      </x:c>
    </x:row>
    <x:row r="166" ht="84" customHeight="1">
      <x:c r="A166" s="8" t="str">
        <x:v>ED-0062</x:v>
      </x:c>
      <x:c r="B166" s="8" t="str">
        <x:v>DOC-0070</x:v>
      </x:c>
      <x:c r="C166" s="8" t="str">
        <x:v>Sinop</x:v>
      </x:c>
      <x:c r="D166" s="8" t="str">
        <x:v>VI</x:v>
      </x:c>
      <x:c r="E166" s="8" t="str">
        <x:v>38</x:v>
      </x:c>
      <x:c r="F166" s="8" t="n">
        <x:v>38</x:v>
      </x:c>
      <x:c r="G166" s="8" t="str">
        <x:v>PNAE_MT_2025/12_SINOP/DOC-0070_f8345a8a-c33f-4788-bfe9-fb15c23010b8.pdf</x:v>
      </x:c>
      <x:c r="H166" s="8" t="str">
        <x:v>Identificadores, instituições, produtos/quantidades, datas e assinaturas; confirmar por tipo.</x:v>
      </x:c>
      <x:c r="I166" s="8" t="str">
        <x:v>Cabeçalho extraído; estrutura preservada no PDF</x:v>
      </x:c>
    </x:row>
    <x:row r="167" ht="84" customHeight="1">
      <x:c r="A167" s="8" t="str">
        <x:v>ED-0063</x:v>
      </x:c>
      <x:c r="B167" s="8" t="str">
        <x:v>DOC-0071</x:v>
      </x:c>
      <x:c r="C167" s="8" t="str">
        <x:v>Sinop</x:v>
      </x:c>
      <x:c r="D167" s="8" t="str">
        <x:v>I</x:v>
      </x:c>
      <x:c r="E167" s="8" t="str">
        <x:v>PROJETOS DE VENDAS PARA OS FORNECEDORES INDIVIDUAIS</x:v>
      </x:c>
      <x:c r="F167" s="8" t="n">
        <x:v>31</x:v>
      </x:c>
      <x:c r="G167" s="8" t="str">
        <x:v>PNAE_MT_2025/12_SINOP/DOC-0071_d239737c-aa5b-4aa5-8c4f-98a1c89d4007.pdf</x:v>
      </x:c>
      <x:c r="H167" s="8" t="str">
        <x:v>Identificadores, instituições, produtos/quantidades, datas e assinaturas; confirmar por tipo.</x:v>
      </x:c>
      <x:c r="I167" s="8" t="str">
        <x:v>Cabeçalho extraído; estrutura preservada no PDF</x:v>
      </x:c>
    </x:row>
    <x:row r="168" ht="84" customHeight="1">
      <x:c r="A168" s="8" t="str">
        <x:v>ED-0063</x:v>
      </x:c>
      <x:c r="B168" s="8" t="str">
        <x:v>DOC-0071</x:v>
      </x:c>
      <x:c r="C168" s="8" t="str">
        <x:v>Sinop</x:v>
      </x:c>
      <x:c r="D168" s="8" t="str">
        <x:v>II</x:v>
      </x:c>
      <x:c r="E168" s="8" t="str">
        <x:v>PROJETO DE VENDAS PARA OS GRUPOS INFORMAIS PROJETO DE VENDA DE GÊNEROS ALIMENTÍCIOS DA AGRICULTURA FAMILIAR PARA ALIMENTAÇÃO ESCOLAR/PNAE</x:v>
      </x:c>
      <x:c r="F168" s="8" t="n">
        <x:v>33</x:v>
      </x:c>
      <x:c r="G168" s="8" t="str">
        <x:v>PNAE_MT_2025/12_SINOP/DOC-0071_d239737c-aa5b-4aa5-8c4f-98a1c89d4007.pdf</x:v>
      </x:c>
      <x:c r="H168" s="8" t="str">
        <x:v>Identificadores, instituições, produtos/quantidades, datas e assinaturas; confirmar por tipo.</x:v>
      </x:c>
      <x:c r="I168" s="8" t="str">
        <x:v>Cabeçalho extraído; estrutura preservada no PDF</x:v>
      </x:c>
    </x:row>
    <x:row r="169" ht="84" customHeight="1">
      <x:c r="A169" s="8" t="str">
        <x:v>ED-0063</x:v>
      </x:c>
      <x:c r="B169" s="8" t="str">
        <x:v>DOC-0071</x:v>
      </x:c>
      <x:c r="C169" s="8" t="str">
        <x:v>Sinop</x:v>
      </x:c>
      <x:c r="D169" s="8" t="str">
        <x:v>III</x:v>
      </x:c>
      <x:c r="E169" s="8" t="str">
        <x:v>PROJETO DE VENDAS PARA OS GRUPOS FORMAIS</x:v>
      </x:c>
      <x:c r="F169" s="8" t="n">
        <x:v>35</x:v>
      </x:c>
      <x:c r="G169" s="8" t="str">
        <x:v>PNAE_MT_2025/12_SINOP/DOC-0071_d239737c-aa5b-4aa5-8c4f-98a1c89d4007.pdf</x:v>
      </x:c>
      <x:c r="H169" s="8" t="str">
        <x:v>Identificadores, instituições, produtos/quantidades, datas e assinaturas; confirmar por tipo.</x:v>
      </x:c>
      <x:c r="I169" s="8" t="str">
        <x:v>Cabeçalho extraído; estrutura preservada no PDF</x:v>
      </x:c>
    </x:row>
    <x:row r="170" ht="84" customHeight="1">
      <x:c r="A170" s="8" t="str">
        <x:v>ED-0063</x:v>
      </x:c>
      <x:c r="B170" s="8" t="str">
        <x:v>DOC-0071</x:v>
      </x:c>
      <x:c r="C170" s="8" t="str">
        <x:v>Sinop</x:v>
      </x:c>
      <x:c r="D170" s="8" t="str">
        <x:v>IV</x:v>
      </x:c>
      <x:c r="E170" s="8" t="str">
        <x:v>RELAÇÃO DAS UNIDADES ESCOLARES CONTEMPLADAS</x:v>
      </x:c>
      <x:c r="F170" s="8" t="n">
        <x:v>37</x:v>
      </x:c>
      <x:c r="G170" s="8" t="str">
        <x:v>PNAE_MT_2025/12_SINOP/DOC-0071_d239737c-aa5b-4aa5-8c4f-98a1c89d4007.pdf</x:v>
      </x:c>
      <x:c r="H170" s="8" t="str">
        <x:v>Identificadores, instituições, produtos/quantidades, datas e assinaturas; confirmar por tipo.</x:v>
      </x:c>
      <x:c r="I170" s="8" t="str">
        <x:v>Cabeçalho extraído; estrutura preservada no PDF</x:v>
      </x:c>
    </x:row>
    <x:row r="171" ht="84" customHeight="1">
      <x:c r="A171" s="8" t="str">
        <x:v>ED-0063</x:v>
      </x:c>
      <x:c r="B171" s="8" t="str">
        <x:v>DOC-0071</x:v>
      </x:c>
      <x:c r="C171" s="8" t="str">
        <x:v>Sinop</x:v>
      </x:c>
      <x:c r="D171" s="8" t="str">
        <x:v>V</x:v>
      </x:c>
      <x:c r="E171" s="8" t="str">
        <x:v>RESULTADO DA CHAMADA PÚBLICA</x:v>
      </x:c>
      <x:c r="F171" s="8" t="n">
        <x:v>38</x:v>
      </x:c>
      <x:c r="G171" s="8" t="str">
        <x:v>PNAE_MT_2025/12_SINOP/DOC-0071_d239737c-aa5b-4aa5-8c4f-98a1c89d4007.pdf</x:v>
      </x:c>
      <x:c r="H171" s="8" t="str">
        <x:v>Identificadores, instituições, produtos/quantidades, datas e assinaturas; confirmar por tipo.</x:v>
      </x:c>
      <x:c r="I171" s="8" t="str">
        <x:v>Cabeçalho extraído; estrutura preservada no PDF</x:v>
      </x:c>
    </x:row>
    <x:row r="172" ht="84" customHeight="1">
      <x:c r="A172" s="8" t="str">
        <x:v>ED-0063</x:v>
      </x:c>
      <x:c r="B172" s="8" t="str">
        <x:v>DOC-0071</x:v>
      </x:c>
      <x:c r="C172" s="8" t="str">
        <x:v>Sinop</x:v>
      </x:c>
      <x:c r="D172" s="8" t="str">
        <x:v>VI</x:v>
      </x:c>
      <x:c r="E172" s="8" t="str">
        <x:v>MINUTA TERMO DE CONTRATO Nº 0XX/202X/SEDUC/MT</x:v>
      </x:c>
      <x:c r="F172" s="8" t="n">
        <x:v>39</x:v>
      </x:c>
      <x:c r="G172" s="8" t="str">
        <x:v>PNAE_MT_2025/12_SINOP/DOC-0071_d239737c-aa5b-4aa5-8c4f-98a1c89d4007.pdf</x:v>
      </x:c>
      <x:c r="H172" s="8" t="str">
        <x:v>Identificadores, instituições, produtos/quantidades, datas e assinaturas; confirmar por tipo.</x:v>
      </x:c>
      <x:c r="I172" s="8" t="str">
        <x:v>Cabeçalho extraído; estrutura preservada no PDF</x:v>
      </x:c>
    </x:row>
    <x:row r="173" ht="84" customHeight="1">
      <x:c r="A173" s="8" t="str">
        <x:v>ED-0064</x:v>
      </x:c>
      <x:c r="B173" s="8" t="str">
        <x:v>DOC-0072</x:v>
      </x:c>
      <x:c r="C173" s="8" t="str">
        <x:v>Sinop</x:v>
      </x:c>
      <x:c r="D173" s="8" t="str">
        <x:v>I</x:v>
      </x:c>
      <x:c r="E173" s="8" t="str">
        <x:v>PROJETOS DE VENDAS PARA OS FORNECEDORES INDIVIDUAIS</x:v>
      </x:c>
      <x:c r="F173" s="8" t="n">
        <x:v>29</x:v>
      </x:c>
      <x:c r="G173" s="8" t="str">
        <x:v>PNAE_MT_2025/12_SINOP/DOC-0072_d8539333-10b0-436d-be50-4bc6b6c5b940.pdf</x:v>
      </x:c>
      <x:c r="H173" s="8" t="str">
        <x:v>Identificadores, instituições, produtos/quantidades, datas e assinaturas; confirmar por tipo.</x:v>
      </x:c>
      <x:c r="I173" s="8" t="str">
        <x:v>Cabeçalho extraído; estrutura preservada no PDF</x:v>
      </x:c>
    </x:row>
    <x:row r="174" ht="84" customHeight="1">
      <x:c r="A174" s="8" t="str">
        <x:v>ED-0064</x:v>
      </x:c>
      <x:c r="B174" s="8" t="str">
        <x:v>DOC-0072</x:v>
      </x:c>
      <x:c r="C174" s="8" t="str">
        <x:v>Sinop</x:v>
      </x:c>
      <x:c r="D174" s="8" t="str">
        <x:v>II</x:v>
      </x:c>
      <x:c r="E174" s="8" t="str">
        <x:v>PROJETO DE VENDAS PARA OS GRUPOS INFORMAIS PROJETO DE VENDA DE GÊNEROS ALIMENTÍCIOS DA AGRICULTURA FAMILIAR PARA ALIMENTAÇÃO ESCOLAR/PNAE</x:v>
      </x:c>
      <x:c r="F174" s="8" t="n">
        <x:v>31</x:v>
      </x:c>
      <x:c r="G174" s="8" t="str">
        <x:v>PNAE_MT_2025/12_SINOP/DOC-0072_d8539333-10b0-436d-be50-4bc6b6c5b940.pdf</x:v>
      </x:c>
      <x:c r="H174" s="8" t="str">
        <x:v>Identificadores, instituições, produtos/quantidades, datas e assinaturas; confirmar por tipo.</x:v>
      </x:c>
      <x:c r="I174" s="8" t="str">
        <x:v>Cabeçalho extraído; estrutura preservada no PDF</x:v>
      </x:c>
    </x:row>
    <x:row r="175" ht="84" customHeight="1">
      <x:c r="A175" s="8" t="str">
        <x:v>ED-0064</x:v>
      </x:c>
      <x:c r="B175" s="8" t="str">
        <x:v>DOC-0072</x:v>
      </x:c>
      <x:c r="C175" s="8" t="str">
        <x:v>Sinop</x:v>
      </x:c>
      <x:c r="D175" s="8" t="str">
        <x:v>III</x:v>
      </x:c>
      <x:c r="E175" s="8" t="str">
        <x:v>PROJETO DE VENDAS PARA OS GRUPOS FORMAIS</x:v>
      </x:c>
      <x:c r="F175" s="8" t="n">
        <x:v>33</x:v>
      </x:c>
      <x:c r="G175" s="8" t="str">
        <x:v>PNAE_MT_2025/12_SINOP/DOC-0072_d8539333-10b0-436d-be50-4bc6b6c5b940.pdf</x:v>
      </x:c>
      <x:c r="H175" s="8" t="str">
        <x:v>Identificadores, instituições, produtos/quantidades, datas e assinaturas; confirmar por tipo.</x:v>
      </x:c>
      <x:c r="I175" s="8" t="str">
        <x:v>Cabeçalho extraído; estrutura preservada no PDF</x:v>
      </x:c>
    </x:row>
    <x:row r="176" ht="84" customHeight="1">
      <x:c r="A176" s="8" t="str">
        <x:v>ED-0064</x:v>
      </x:c>
      <x:c r="B176" s="8" t="str">
        <x:v>DOC-0072</x:v>
      </x:c>
      <x:c r="C176" s="8" t="str">
        <x:v>Sinop</x:v>
      </x:c>
      <x:c r="D176" s="8" t="str">
        <x:v>IV</x:v>
      </x:c>
      <x:c r="E176" s="8" t="str">
        <x:v>RELAÇÃO DAS UNIDADES ESCOLARES CONTEMPLADAS</x:v>
      </x:c>
      <x:c r="F176" s="8" t="n">
        <x:v>35</x:v>
      </x:c>
      <x:c r="G176" s="8" t="str">
        <x:v>PNAE_MT_2025/12_SINOP/DOC-0072_d8539333-10b0-436d-be50-4bc6b6c5b940.pdf</x:v>
      </x:c>
      <x:c r="H176" s="8" t="str">
        <x:v>Identificadores, instituições, produtos/quantidades, datas e assinaturas; confirmar por tipo.</x:v>
      </x:c>
      <x:c r="I176" s="8" t="str">
        <x:v>Cabeçalho extraído; estrutura preservada no PDF</x:v>
      </x:c>
    </x:row>
    <x:row r="177" ht="84" customHeight="1">
      <x:c r="A177" s="8" t="str">
        <x:v>ED-0064</x:v>
      </x:c>
      <x:c r="B177" s="8" t="str">
        <x:v>DOC-0072</x:v>
      </x:c>
      <x:c r="C177" s="8" t="str">
        <x:v>Sinop</x:v>
      </x:c>
      <x:c r="D177" s="8" t="str">
        <x:v>V</x:v>
      </x:c>
      <x:c r="E177" s="8" t="str">
        <x:v>RESULTADO DA CHAMADA PÚBLICA</x:v>
      </x:c>
      <x:c r="F177" s="8" t="n">
        <x:v>36</x:v>
      </x:c>
      <x:c r="G177" s="8" t="str">
        <x:v>PNAE_MT_2025/12_SINOP/DOC-0072_d8539333-10b0-436d-be50-4bc6b6c5b940.pdf</x:v>
      </x:c>
      <x:c r="H177" s="8" t="str">
        <x:v>Identificadores, instituições, produtos/quantidades, datas e assinaturas; confirmar por tipo.</x:v>
      </x:c>
      <x:c r="I177" s="8" t="str">
        <x:v>Cabeçalho extraído; estrutura preservada no PDF</x:v>
      </x:c>
    </x:row>
    <x:row r="178" ht="84" customHeight="1">
      <x:c r="A178" s="8" t="str">
        <x:v>ED-0064</x:v>
      </x:c>
      <x:c r="B178" s="8" t="str">
        <x:v>DOC-0072</x:v>
      </x:c>
      <x:c r="C178" s="8" t="str">
        <x:v>Sinop</x:v>
      </x:c>
      <x:c r="D178" s="8" t="str">
        <x:v>VI</x:v>
      </x:c>
      <x:c r="E178" s="8" t="str"/>
      <x:c r="F178" s="8" t="n">
        <x:v>36</x:v>
      </x:c>
      <x:c r="G178" s="8" t="str">
        <x:v>PNAE_MT_2025/12_SINOP/DOC-0072_d8539333-10b0-436d-be50-4bc6b6c5b940.pdf</x:v>
      </x:c>
      <x:c r="H178" s="8" t="str">
        <x:v>Identificadores, instituições, produtos/quantidades, datas e assinaturas; confirmar por tipo.</x:v>
      </x:c>
      <x:c r="I178" s="8" t="str">
        <x:v>Cabeçalho extraído; estrutura preservada no PDF</x:v>
      </x:c>
    </x:row>
    <x:row r="179" ht="84" customHeight="1">
      <x:c r="A179" s="8" t="str">
        <x:v>ED-0065</x:v>
      </x:c>
      <x:c r="B179" s="8" t="str">
        <x:v>DOC-0073</x:v>
      </x:c>
      <x:c r="C179" s="8" t="str">
        <x:v>Sinop</x:v>
      </x:c>
      <x:c r="D179" s="8" t="str">
        <x:v>I</x:v>
      </x:c>
      <x:c r="E179" s="8" t="str">
        <x:v>PROJETOS DE VENDAS PARA OS FORNECEDORES INDIVIDUAIS</x:v>
      </x:c>
      <x:c r="F179" s="8" t="n">
        <x:v>29</x:v>
      </x:c>
      <x:c r="G179" s="8" t="str">
        <x:v>PNAE_MT_2025/12_SINOP/DOC-0073_61522d8f-5478-4cdb-b7cf-0d7a17c56a27.pdf</x:v>
      </x:c>
      <x:c r="H179" s="8" t="str">
        <x:v>Identificadores, instituições, produtos/quantidades, datas e assinaturas; confirmar por tipo.</x:v>
      </x:c>
      <x:c r="I179" s="8" t="str">
        <x:v>Cabeçalho extraído; estrutura preservada no PDF</x:v>
      </x:c>
    </x:row>
    <x:row r="180" ht="84" customHeight="1">
      <x:c r="A180" s="8" t="str">
        <x:v>ED-0065</x:v>
      </x:c>
      <x:c r="B180" s="8" t="str">
        <x:v>DOC-0073</x:v>
      </x:c>
      <x:c r="C180" s="8" t="str">
        <x:v>Sinop</x:v>
      </x:c>
      <x:c r="D180" s="8" t="str">
        <x:v>II</x:v>
      </x:c>
      <x:c r="E180" s="8" t="str">
        <x:v>PROJETO DE VENDAS PARA OS GRUPOS INFORMAIS PROJETO DE VENDA DE GÊNEROS ALIMENTÍCIOS DA AGRICULTURA FAMILIAR PARA ALIMENTAÇÃO ESCOLAR/PNAE</x:v>
      </x:c>
      <x:c r="F180" s="8" t="n">
        <x:v>31</x:v>
      </x:c>
      <x:c r="G180" s="8" t="str">
        <x:v>PNAE_MT_2025/12_SINOP/DOC-0073_61522d8f-5478-4cdb-b7cf-0d7a17c56a27.pdf</x:v>
      </x:c>
      <x:c r="H180" s="8" t="str">
        <x:v>Identificadores, instituições, produtos/quantidades, datas e assinaturas; confirmar por tipo.</x:v>
      </x:c>
      <x:c r="I180" s="8" t="str">
        <x:v>Cabeçalho extraído; estrutura preservada no PDF</x:v>
      </x:c>
    </x:row>
    <x:row r="181" ht="84" customHeight="1">
      <x:c r="A181" s="8" t="str">
        <x:v>ED-0065</x:v>
      </x:c>
      <x:c r="B181" s="8" t="str">
        <x:v>DOC-0073</x:v>
      </x:c>
      <x:c r="C181" s="8" t="str">
        <x:v>Sinop</x:v>
      </x:c>
      <x:c r="D181" s="8" t="str">
        <x:v>III</x:v>
      </x:c>
      <x:c r="E181" s="8" t="str"/>
      <x:c r="F181" s="8" t="n">
        <x:v>32</x:v>
      </x:c>
      <x:c r="G181" s="8" t="str">
        <x:v>PNAE_MT_2025/12_SINOP/DOC-0073_61522d8f-5478-4cdb-b7cf-0d7a17c56a27.pdf</x:v>
      </x:c>
      <x:c r="H181" s="8" t="str">
        <x:v>Identificadores, instituições, produtos/quantidades, datas e assinaturas; confirmar por tipo.</x:v>
      </x:c>
      <x:c r="I181" s="8" t="str">
        <x:v>Cabeçalho extraído; estrutura preservada no PDF</x:v>
      </x:c>
    </x:row>
    <x:row r="182" ht="84" customHeight="1">
      <x:c r="A182" s="8" t="str">
        <x:v>ED-0065</x:v>
      </x:c>
      <x:c r="B182" s="8" t="str">
        <x:v>DOC-0073</x:v>
      </x:c>
      <x:c r="C182" s="8" t="str">
        <x:v>Sinop</x:v>
      </x:c>
      <x:c r="D182" s="8" t="str">
        <x:v>IV</x:v>
      </x:c>
      <x:c r="E182" s="8" t="str">
        <x:v>RELAÇÃO DAS UNIDADES ESCOLARES CONTEMPLADAS</x:v>
      </x:c>
      <x:c r="F182" s="8" t="n">
        <x:v>34</x:v>
      </x:c>
      <x:c r="G182" s="8" t="str">
        <x:v>PNAE_MT_2025/12_SINOP/DOC-0073_61522d8f-5478-4cdb-b7cf-0d7a17c56a27.pdf</x:v>
      </x:c>
      <x:c r="H182" s="8" t="str">
        <x:v>Identificadores, instituições, produtos/quantidades, datas e assinaturas; confirmar por tipo.</x:v>
      </x:c>
      <x:c r="I182" s="8" t="str">
        <x:v>Cabeçalho extraído; estrutura preservada no PDF</x:v>
      </x:c>
    </x:row>
    <x:row r="183" ht="84" customHeight="1">
      <x:c r="A183" s="8" t="str">
        <x:v>ED-0065</x:v>
      </x:c>
      <x:c r="B183" s="8" t="str">
        <x:v>DOC-0073</x:v>
      </x:c>
      <x:c r="C183" s="8" t="str">
        <x:v>Sinop</x:v>
      </x:c>
      <x:c r="D183" s="8" t="str">
        <x:v>V</x:v>
      </x:c>
      <x:c r="E183" s="8" t="str">
        <x:v>RESULTADO DA CHAMADA PÚBLICA</x:v>
      </x:c>
      <x:c r="F183" s="8" t="n">
        <x:v>35</x:v>
      </x:c>
      <x:c r="G183" s="8" t="str">
        <x:v>PNAE_MT_2025/12_SINOP/DOC-0073_61522d8f-5478-4cdb-b7cf-0d7a17c56a27.pdf</x:v>
      </x:c>
      <x:c r="H183" s="8" t="str">
        <x:v>Identificadores, instituições, produtos/quantidades, datas e assinaturas; confirmar por tipo.</x:v>
      </x:c>
      <x:c r="I183" s="8" t="str">
        <x:v>Cabeçalho extraído; estrutura preservada no PDF</x:v>
      </x:c>
    </x:row>
    <x:row r="184" ht="84" customHeight="1">
      <x:c r="A184" s="8" t="str">
        <x:v>ED-0065</x:v>
      </x:c>
      <x:c r="B184" s="8" t="str">
        <x:v>DOC-0073</x:v>
      </x:c>
      <x:c r="C184" s="8" t="str">
        <x:v>Sinop</x:v>
      </x:c>
      <x:c r="D184" s="8" t="str">
        <x:v>VI</x:v>
      </x:c>
      <x:c r="E184" s="8" t="str">
        <x:v>MINUTA TERMO DE CONTRATO Nº 0XX/202X/SEDUC/MT</x:v>
      </x:c>
      <x:c r="F184" s="8" t="n">
        <x:v>36</x:v>
      </x:c>
      <x:c r="G184" s="8" t="str">
        <x:v>PNAE_MT_2025/12_SINOP/DOC-0073_61522d8f-5478-4cdb-b7cf-0d7a17c56a27.pdf</x:v>
      </x:c>
      <x:c r="H184" s="8" t="str">
        <x:v>Identificadores, instituições, produtos/quantidades, datas e assinaturas; confirmar por tipo.</x:v>
      </x:c>
      <x:c r="I184" s="8" t="str">
        <x:v>Cabeçalho extraído; estrutura preservada no PDF</x:v>
      </x:c>
    </x:row>
    <x:row r="185" ht="84" customHeight="1">
      <x:c r="A185" s="8" t="str">
        <x:v>ED-0066</x:v>
      </x:c>
      <x:c r="B185" s="8" t="str">
        <x:v>DOC-0074</x:v>
      </x:c>
      <x:c r="C185" s="8" t="str">
        <x:v>Sinop</x:v>
      </x:c>
      <x:c r="D185" s="8" t="str">
        <x:v>I</x:v>
      </x:c>
      <x:c r="E185" s="8" t="str">
        <x:v>PROJETOS DE VENDAS PARA OS FORNECEDORES INDIVIDUAIS</x:v>
      </x:c>
      <x:c r="F185" s="8" t="n">
        <x:v>29</x:v>
      </x:c>
      <x:c r="G185" s="8" t="str">
        <x:v>PNAE_MT_2025/12_SINOP/DOC-0074_1291cecc-6aa7-43bb-a549-a33b65843df9.pdf</x:v>
      </x:c>
      <x:c r="H185" s="8" t="str">
        <x:v>Identificadores, instituições, produtos/quantidades, datas e assinaturas; confirmar por tipo.</x:v>
      </x:c>
      <x:c r="I185" s="8" t="str">
        <x:v>Cabeçalho extraído; estrutura preservada no PDF</x:v>
      </x:c>
    </x:row>
    <x:row r="186" ht="84" customHeight="1">
      <x:c r="A186" s="8" t="str">
        <x:v>ED-0066</x:v>
      </x:c>
      <x:c r="B186" s="8" t="str">
        <x:v>DOC-0074</x:v>
      </x:c>
      <x:c r="C186" s="8" t="str">
        <x:v>Sinop</x:v>
      </x:c>
      <x:c r="D186" s="8" t="str">
        <x:v>II</x:v>
      </x:c>
      <x:c r="E186" s="8" t="str">
        <x:v>PROJETO DE VENDAS PARA OS GRUPOS INFORMAIS PROJETO DE VENDA DE GÊNEROS ALIMENTÍCIOS DA AGRICULTURA FAMILIAR PARA ALIMENTAÇÃO ESCOLAR/PNAE</x:v>
      </x:c>
      <x:c r="F186" s="8" t="n">
        <x:v>31</x:v>
      </x:c>
      <x:c r="G186" s="8" t="str">
        <x:v>PNAE_MT_2025/12_SINOP/DOC-0074_1291cecc-6aa7-43bb-a549-a33b65843df9.pdf</x:v>
      </x:c>
      <x:c r="H186" s="8" t="str">
        <x:v>Identificadores, instituições, produtos/quantidades, datas e assinaturas; confirmar por tipo.</x:v>
      </x:c>
      <x:c r="I186" s="8" t="str">
        <x:v>Cabeçalho extraído; estrutura preservada no PDF</x:v>
      </x:c>
    </x:row>
    <x:row r="187" ht="84" customHeight="1">
      <x:c r="A187" s="8" t="str">
        <x:v>ED-0066</x:v>
      </x:c>
      <x:c r="B187" s="8" t="str">
        <x:v>DOC-0074</x:v>
      </x:c>
      <x:c r="C187" s="8" t="str">
        <x:v>Sinop</x:v>
      </x:c>
      <x:c r="D187" s="8" t="str">
        <x:v>III</x:v>
      </x:c>
      <x:c r="E187" s="8" t="str">
        <x:v>PROJETO DE VENDAS PARA OS GRUPOS FORMAIS</x:v>
      </x:c>
      <x:c r="F187" s="8" t="n">
        <x:v>33</x:v>
      </x:c>
      <x:c r="G187" s="8" t="str">
        <x:v>PNAE_MT_2025/12_SINOP/DOC-0074_1291cecc-6aa7-43bb-a549-a33b65843df9.pdf</x:v>
      </x:c>
      <x:c r="H187" s="8" t="str">
        <x:v>Identificadores, instituições, produtos/quantidades, datas e assinaturas; confirmar por tipo.</x:v>
      </x:c>
      <x:c r="I187" s="8" t="str">
        <x:v>Cabeçalho extraído; estrutura preservada no PDF</x:v>
      </x:c>
    </x:row>
    <x:row r="188" ht="84" customHeight="1">
      <x:c r="A188" s="8" t="str">
        <x:v>ED-0066</x:v>
      </x:c>
      <x:c r="B188" s="8" t="str">
        <x:v>DOC-0074</x:v>
      </x:c>
      <x:c r="C188" s="8" t="str">
        <x:v>Sinop</x:v>
      </x:c>
      <x:c r="D188" s="8" t="str">
        <x:v>IV</x:v>
      </x:c>
      <x:c r="E188" s="8" t="str">
        <x:v>RELAÇÃO DAS UNIDADES ESCOLARES CONTEMPLADAS</x:v>
      </x:c>
      <x:c r="F188" s="8" t="n">
        <x:v>35</x:v>
      </x:c>
      <x:c r="G188" s="8" t="str">
        <x:v>PNAE_MT_2025/12_SINOP/DOC-0074_1291cecc-6aa7-43bb-a549-a33b65843df9.pdf</x:v>
      </x:c>
      <x:c r="H188" s="8" t="str">
        <x:v>Identificadores, instituições, produtos/quantidades, datas e assinaturas; confirmar por tipo.</x:v>
      </x:c>
      <x:c r="I188" s="8" t="str">
        <x:v>Cabeçalho extraído; estrutura preservada no PDF</x:v>
      </x:c>
    </x:row>
    <x:row r="189" ht="84" customHeight="1">
      <x:c r="A189" s="8" t="str">
        <x:v>ED-0066</x:v>
      </x:c>
      <x:c r="B189" s="8" t="str">
        <x:v>DOC-0074</x:v>
      </x:c>
      <x:c r="C189" s="8" t="str">
        <x:v>Sinop</x:v>
      </x:c>
      <x:c r="D189" s="8" t="str">
        <x:v>V</x:v>
      </x:c>
      <x:c r="E189" s="8" t="str">
        <x:v>RESULTADO DA CHAMADA PÚBLICA</x:v>
      </x:c>
      <x:c r="F189" s="8" t="n">
        <x:v>36</x:v>
      </x:c>
      <x:c r="G189" s="8" t="str">
        <x:v>PNAE_MT_2025/12_SINOP/DOC-0074_1291cecc-6aa7-43bb-a549-a33b65843df9.pdf</x:v>
      </x:c>
      <x:c r="H189" s="8" t="str">
        <x:v>Identificadores, instituições, produtos/quantidades, datas e assinaturas; confirmar por tipo.</x:v>
      </x:c>
      <x:c r="I189" s="8" t="str">
        <x:v>Cabeçalho extraído; estrutura preservada no PDF</x:v>
      </x:c>
    </x:row>
    <x:row r="190" ht="84" customHeight="1">
      <x:c r="A190" s="8" t="str">
        <x:v>ED-0066</x:v>
      </x:c>
      <x:c r="B190" s="8" t="str">
        <x:v>DOC-0074</x:v>
      </x:c>
      <x:c r="C190" s="8" t="str">
        <x:v>Sinop</x:v>
      </x:c>
      <x:c r="D190" s="8" t="str">
        <x:v>VI</x:v>
      </x:c>
      <x:c r="E190" s="8" t="str"/>
      <x:c r="F190" s="8" t="n">
        <x:v>36</x:v>
      </x:c>
      <x:c r="G190" s="8" t="str">
        <x:v>PNAE_MT_2025/12_SINOP/DOC-0074_1291cecc-6aa7-43bb-a549-a33b65843df9.pdf</x:v>
      </x:c>
      <x:c r="H190" s="8" t="str">
        <x:v>Identificadores, instituições, produtos/quantidades, datas e assinaturas; confirmar por tipo.</x:v>
      </x:c>
      <x:c r="I190" s="8" t="str">
        <x:v>Cabeçalho extraído; estrutura preservada no PDF</x:v>
      </x:c>
    </x:row>
    <x:row r="191" ht="84" customHeight="1">
      <x:c r="A191" s="8" t="str">
        <x:v>ED-0067</x:v>
      </x:c>
      <x:c r="B191" s="8" t="str">
        <x:v>DOC-0075</x:v>
      </x:c>
      <x:c r="C191" s="8" t="str">
        <x:v>Sinop</x:v>
      </x:c>
      <x:c r="D191" s="8" t="str">
        <x:v>I</x:v>
      </x:c>
      <x:c r="E191" s="8" t="str">
        <x:v>PROJETOS DE VENDAS PARA OS FORNECEDORES INDIVIDUAIS</x:v>
      </x:c>
      <x:c r="F191" s="8" t="n">
        <x:v>30</x:v>
      </x:c>
      <x:c r="G191" s="8" t="str">
        <x:v>PNAE_MT_2025/12_SINOP/DOC-0075_bd759726-7290-4133-976b-096fd05bfc1b.pdf</x:v>
      </x:c>
      <x:c r="H191" s="8" t="str">
        <x:v>Identificadores, instituições, produtos/quantidades, datas e assinaturas; confirmar por tipo.</x:v>
      </x:c>
      <x:c r="I191" s="8" t="str">
        <x:v>Cabeçalho extraído; estrutura preservada no PDF</x:v>
      </x:c>
    </x:row>
    <x:row r="192" ht="84" customHeight="1">
      <x:c r="A192" s="8" t="str">
        <x:v>ED-0067</x:v>
      </x:c>
      <x:c r="B192" s="8" t="str">
        <x:v>DOC-0075</x:v>
      </x:c>
      <x:c r="C192" s="8" t="str">
        <x:v>Sinop</x:v>
      </x:c>
      <x:c r="D192" s="8" t="str">
        <x:v>II</x:v>
      </x:c>
      <x:c r="E192" s="8" t="str">
        <x:v>PROJETO DE VENDAS PARA OS GRUPOS INFORMAIS PROJETO DE VENDA DE GÊNEROS ALIMENTÍCIOS DA AGRICULTURA FAMILIAR PARA ALIMENTAÇÃO ESCOLAR/PNAE</x:v>
      </x:c>
      <x:c r="F192" s="8" t="n">
        <x:v>32</x:v>
      </x:c>
      <x:c r="G192" s="8" t="str">
        <x:v>PNAE_MT_2025/12_SINOP/DOC-0075_bd759726-7290-4133-976b-096fd05bfc1b.pdf</x:v>
      </x:c>
      <x:c r="H192" s="8" t="str">
        <x:v>Identificadores, instituições, produtos/quantidades, datas e assinaturas; confirmar por tipo.</x:v>
      </x:c>
      <x:c r="I192" s="8" t="str">
        <x:v>Cabeçalho extraído; estrutura preservada no PDF</x:v>
      </x:c>
    </x:row>
    <x:row r="193" ht="84" customHeight="1">
      <x:c r="A193" s="8" t="str">
        <x:v>ED-0067</x:v>
      </x:c>
      <x:c r="B193" s="8" t="str">
        <x:v>DOC-0075</x:v>
      </x:c>
      <x:c r="C193" s="8" t="str">
        <x:v>Sinop</x:v>
      </x:c>
      <x:c r="D193" s="8" t="str">
        <x:v>III</x:v>
      </x:c>
      <x:c r="E193" s="8" t="str">
        <x:v>PROJETO DE VENDAS PARA OS GRUPOS FORMAIS</x:v>
      </x:c>
      <x:c r="F193" s="8" t="n">
        <x:v>34</x:v>
      </x:c>
      <x:c r="G193" s="8" t="str">
        <x:v>PNAE_MT_2025/12_SINOP/DOC-0075_bd759726-7290-4133-976b-096fd05bfc1b.pdf</x:v>
      </x:c>
      <x:c r="H193" s="8" t="str">
        <x:v>Identificadores, instituições, produtos/quantidades, datas e assinaturas; confirmar por tipo.</x:v>
      </x:c>
      <x:c r="I193" s="8" t="str">
        <x:v>Cabeçalho extraído; estrutura preservada no PDF</x:v>
      </x:c>
    </x:row>
    <x:row r="194" ht="84" customHeight="1">
      <x:c r="A194" s="8" t="str">
        <x:v>ED-0067</x:v>
      </x:c>
      <x:c r="B194" s="8" t="str">
        <x:v>DOC-0075</x:v>
      </x:c>
      <x:c r="C194" s="8" t="str">
        <x:v>Sinop</x:v>
      </x:c>
      <x:c r="D194" s="8" t="str">
        <x:v>IV</x:v>
      </x:c>
      <x:c r="E194" s="8" t="str">
        <x:v>RELAÇÃO DAS UNIDADES ESCOLARES CONTEMPLADAS</x:v>
      </x:c>
      <x:c r="F194" s="8" t="n">
        <x:v>35</x:v>
      </x:c>
      <x:c r="G194" s="8" t="str">
        <x:v>PNAE_MT_2025/12_SINOP/DOC-0075_bd759726-7290-4133-976b-096fd05bfc1b.pdf</x:v>
      </x:c>
      <x:c r="H194" s="8" t="str">
        <x:v>Identificadores, instituições, produtos/quantidades, datas e assinaturas; confirmar por tipo.</x:v>
      </x:c>
      <x:c r="I194" s="8" t="str">
        <x:v>Cabeçalho extraído; estrutura preservada no PDF</x:v>
      </x:c>
    </x:row>
    <x:row r="195" ht="84" customHeight="1">
      <x:c r="A195" s="8" t="str">
        <x:v>ED-0067</x:v>
      </x:c>
      <x:c r="B195" s="8" t="str">
        <x:v>DOC-0075</x:v>
      </x:c>
      <x:c r="C195" s="8" t="str">
        <x:v>Sinop</x:v>
      </x:c>
      <x:c r="D195" s="8" t="str">
        <x:v>V</x:v>
      </x:c>
      <x:c r="E195" s="8" t="str">
        <x:v>RESULTADO DA CHAMADA PÚBLICA</x:v>
      </x:c>
      <x:c r="F195" s="8" t="n">
        <x:v>36</x:v>
      </x:c>
      <x:c r="G195" s="8" t="str">
        <x:v>PNAE_MT_2025/12_SINOP/DOC-0075_bd759726-7290-4133-976b-096fd05bfc1b.pdf</x:v>
      </x:c>
      <x:c r="H195" s="8" t="str">
        <x:v>Identificadores, instituições, produtos/quantidades, datas e assinaturas; confirmar por tipo.</x:v>
      </x:c>
      <x:c r="I195" s="8" t="str">
        <x:v>Cabeçalho extraído; estrutura preservada no PDF</x:v>
      </x:c>
    </x:row>
    <x:row r="196" ht="84" customHeight="1">
      <x:c r="A196" s="8" t="str">
        <x:v>ED-0067</x:v>
      </x:c>
      <x:c r="B196" s="8" t="str">
        <x:v>DOC-0075</x:v>
      </x:c>
      <x:c r="C196" s="8" t="str">
        <x:v>Sinop</x:v>
      </x:c>
      <x:c r="D196" s="8" t="str">
        <x:v>VI</x:v>
      </x:c>
      <x:c r="E196" s="8" t="str">
        <x:v>MINUTA TERMO DE CONTRATO Nº 0XX/202X/SEDUC/MT</x:v>
      </x:c>
      <x:c r="F196" s="8" t="n">
        <x:v>37</x:v>
      </x:c>
      <x:c r="G196" s="8" t="str">
        <x:v>PNAE_MT_2025/12_SINOP/DOC-0075_bd759726-7290-4133-976b-096fd05bfc1b.pdf</x:v>
      </x:c>
      <x:c r="H196" s="8" t="str">
        <x:v>Identificadores, instituições, produtos/quantidades, datas e assinaturas; confirmar por tipo.</x:v>
      </x:c>
      <x:c r="I196" s="8" t="str">
        <x:v>Cabeçalho extraído; estrutura preservada no PDF</x:v>
      </x:c>
    </x:row>
    <x:row r="197" ht="84" customHeight="1">
      <x:c r="A197" s="8" t="str">
        <x:v>ED-0068</x:v>
      </x:c>
      <x:c r="B197" s="8" t="str">
        <x:v>DOC-0076</x:v>
      </x:c>
      <x:c r="C197" s="8" t="str">
        <x:v>Sinop</x:v>
      </x:c>
      <x:c r="D197" s="8" t="str">
        <x:v>I</x:v>
      </x:c>
      <x:c r="E197" s="8" t="str">
        <x:v>PROJETOS DE VENDAS PARA OS FORNECEDORES INDIVIDUAIS</x:v>
      </x:c>
      <x:c r="F197" s="8" t="n">
        <x:v>42</x:v>
      </x:c>
      <x:c r="G197" s="8" t="str">
        <x:v>PNAE_MT_2025/12_SINOP/DOC-0076_807e87cd-6ca6-45b4-be56-587562a0b377.pdf</x:v>
      </x:c>
      <x:c r="H197" s="8" t="str">
        <x:v>Identificadores, instituições, produtos/quantidades, datas e assinaturas; confirmar por tipo.</x:v>
      </x:c>
      <x:c r="I197" s="8" t="str">
        <x:v>Cabeçalho extraído; estrutura preservada no PDF</x:v>
      </x:c>
    </x:row>
    <x:row r="198" ht="84" customHeight="1">
      <x:c r="A198" s="8" t="str">
        <x:v>ED-0068</x:v>
      </x:c>
      <x:c r="B198" s="8" t="str">
        <x:v>DOC-0076</x:v>
      </x:c>
      <x:c r="C198" s="8" t="str">
        <x:v>Sinop</x:v>
      </x:c>
      <x:c r="D198" s="8" t="str">
        <x:v>II</x:v>
      </x:c>
      <x:c r="E198" s="8" t="str">
        <x:v>PROJETO DE VENDAS PARA OS GRUPOS INFORMAIS PROJETO DE VENDA DE GÊNEROS ALIMENTÍCIOS DA AGRICULTURA FAMILIAR PARA ALIMENTAÇÃO ESCOLAR/PNAE</x:v>
      </x:c>
      <x:c r="F198" s="8" t="n">
        <x:v>44</x:v>
      </x:c>
      <x:c r="G198" s="8" t="str">
        <x:v>PNAE_MT_2025/12_SINOP/DOC-0076_807e87cd-6ca6-45b4-be56-587562a0b377.pdf</x:v>
      </x:c>
      <x:c r="H198" s="8" t="str">
        <x:v>Identificadores, instituições, produtos/quantidades, datas e assinaturas; confirmar por tipo.</x:v>
      </x:c>
      <x:c r="I198" s="8" t="str">
        <x:v>Cabeçalho extraído; estrutura preservada no PDF</x:v>
      </x:c>
    </x:row>
    <x:row r="199" ht="84" customHeight="1">
      <x:c r="A199" s="8" t="str">
        <x:v>ED-0068</x:v>
      </x:c>
      <x:c r="B199" s="8" t="str">
        <x:v>DOC-0076</x:v>
      </x:c>
      <x:c r="C199" s="8" t="str">
        <x:v>Sinop</x:v>
      </x:c>
      <x:c r="D199" s="8" t="str">
        <x:v>III</x:v>
      </x:c>
      <x:c r="E199" s="8" t="str">
        <x:v>PROJETO DE VENDAS PARA OS GRUPOS FORMAIS</x:v>
      </x:c>
      <x:c r="F199" s="8" t="n">
        <x:v>46</x:v>
      </x:c>
      <x:c r="G199" s="8" t="str">
        <x:v>PNAE_MT_2025/12_SINOP/DOC-0076_807e87cd-6ca6-45b4-be56-587562a0b377.pdf</x:v>
      </x:c>
      <x:c r="H199" s="8" t="str">
        <x:v>Identificadores, instituições, produtos/quantidades, datas e assinaturas; confirmar por tipo.</x:v>
      </x:c>
      <x:c r="I199" s="8" t="str">
        <x:v>Cabeçalho extraído; estrutura preservada no PDF</x:v>
      </x:c>
    </x:row>
    <x:row r="200" ht="84" customHeight="1">
      <x:c r="A200" s="8" t="str">
        <x:v>ED-0068</x:v>
      </x:c>
      <x:c r="B200" s="8" t="str">
        <x:v>DOC-0076</x:v>
      </x:c>
      <x:c r="C200" s="8" t="str">
        <x:v>Sinop</x:v>
      </x:c>
      <x:c r="D200" s="8" t="str">
        <x:v>IV</x:v>
      </x:c>
      <x:c r="E200" s="8" t="str">
        <x:v>RELAÇÃO DAS UNIDADES ESCOLARES CONTEMPLADAS</x:v>
      </x:c>
      <x:c r="F200" s="8" t="n">
        <x:v>47</x:v>
      </x:c>
      <x:c r="G200" s="8" t="str">
        <x:v>PNAE_MT_2025/12_SINOP/DOC-0076_807e87cd-6ca6-45b4-be56-587562a0b377.pdf</x:v>
      </x:c>
      <x:c r="H200" s="8" t="str">
        <x:v>Identificadores, instituições, produtos/quantidades, datas e assinaturas; confirmar por tipo.</x:v>
      </x:c>
      <x:c r="I200" s="8" t="str">
        <x:v>Cabeçalho extraído; estrutura preservada no PDF</x:v>
      </x:c>
    </x:row>
    <x:row r="201" ht="84" customHeight="1">
      <x:c r="A201" s="8" t="str">
        <x:v>ED-0068</x:v>
      </x:c>
      <x:c r="B201" s="8" t="str">
        <x:v>DOC-0076</x:v>
      </x:c>
      <x:c r="C201" s="8" t="str">
        <x:v>Sinop</x:v>
      </x:c>
      <x:c r="D201" s="8" t="str">
        <x:v>V</x:v>
      </x:c>
      <x:c r="E201" s="8" t="str">
        <x:v>RESULTADO DA CHAMADA PÚBLICA</x:v>
      </x:c>
      <x:c r="F201" s="8" t="n">
        <x:v>48</x:v>
      </x:c>
      <x:c r="G201" s="8" t="str">
        <x:v>PNAE_MT_2025/12_SINOP/DOC-0076_807e87cd-6ca6-45b4-be56-587562a0b377.pdf</x:v>
      </x:c>
      <x:c r="H201" s="8" t="str">
        <x:v>Identificadores, instituições, produtos/quantidades, datas e assinaturas; confirmar por tipo.</x:v>
      </x:c>
      <x:c r="I201" s="8" t="str">
        <x:v>Cabeçalho extraído; estrutura preservada no PDF</x:v>
      </x:c>
    </x:row>
    <x:row r="202" ht="84" customHeight="1">
      <x:c r="A202" s="8" t="str">
        <x:v>ED-0068</x:v>
      </x:c>
      <x:c r="B202" s="8" t="str">
        <x:v>DOC-0076</x:v>
      </x:c>
      <x:c r="C202" s="8" t="str">
        <x:v>Sinop</x:v>
      </x:c>
      <x:c r="D202" s="8" t="str">
        <x:v>VI</x:v>
      </x:c>
      <x:c r="E202" s="8" t="str">
        <x:v>MINUTA TERMO DE CONTRATO Nº 0XX/202X/SEDUC/MT</x:v>
      </x:c>
      <x:c r="F202" s="8" t="n">
        <x:v>49</x:v>
      </x:c>
      <x:c r="G202" s="8" t="str">
        <x:v>PNAE_MT_2025/12_SINOP/DOC-0076_807e87cd-6ca6-45b4-be56-587562a0b377.pdf</x:v>
      </x:c>
      <x:c r="H202" s="8" t="str">
        <x:v>Identificadores, instituições, produtos/quantidades, datas e assinaturas; confirmar por tipo.</x:v>
      </x:c>
      <x:c r="I202" s="8" t="str">
        <x:v>Cabeçalho extraído; estrutura preservada no PDF</x:v>
      </x:c>
    </x:row>
    <x:row r="203" ht="84" customHeight="1">
      <x:c r="A203" s="8" t="str">
        <x:v>ED-0069</x:v>
      </x:c>
      <x:c r="B203" s="8" t="str">
        <x:v>DOC-0077</x:v>
      </x:c>
      <x:c r="C203" s="8" t="str">
        <x:v>Sinop</x:v>
      </x:c>
      <x:c r="D203" s="8" t="str">
        <x:v>I</x:v>
      </x:c>
      <x:c r="E203" s="8" t="str">
        <x:v>PROJETOS DE VENDAS PARA OS FORNECEDORES INDIVIDUAIS</x:v>
      </x:c>
      <x:c r="F203" s="8" t="n">
        <x:v>30</x:v>
      </x:c>
      <x:c r="G203" s="8" t="str">
        <x:v>PNAE_MT_2025/12_SINOP/DOC-0077_762c78d9-033d-49a2-81cc-9952333825e8.pdf</x:v>
      </x:c>
      <x:c r="H203" s="8" t="str">
        <x:v>Identificadores, instituições, produtos/quantidades, datas e assinaturas; confirmar por tipo.</x:v>
      </x:c>
      <x:c r="I203" s="8" t="str">
        <x:v>Cabeçalho extraído; estrutura preservada no PDF</x:v>
      </x:c>
    </x:row>
    <x:row r="204" ht="84" customHeight="1">
      <x:c r="A204" s="8" t="str">
        <x:v>ED-0069</x:v>
      </x:c>
      <x:c r="B204" s="8" t="str">
        <x:v>DOC-0077</x:v>
      </x:c>
      <x:c r="C204" s="8" t="str">
        <x:v>Sinop</x:v>
      </x:c>
      <x:c r="D204" s="8" t="str">
        <x:v>II</x:v>
      </x:c>
      <x:c r="E204" s="8" t="str">
        <x:v>PROJETO DE VENDAS PARA OS GRUPOS INFORMAIS PROJETO DE VENDA DE GÊNEROS ALIMENTÍCIOS DA AGRICULTURA FAMILIAR PARA ALIMENTAÇÃO ESCOLAR/PNAE</x:v>
      </x:c>
      <x:c r="F204" s="8" t="n">
        <x:v>32</x:v>
      </x:c>
      <x:c r="G204" s="8" t="str">
        <x:v>PNAE_MT_2025/12_SINOP/DOC-0077_762c78d9-033d-49a2-81cc-9952333825e8.pdf</x:v>
      </x:c>
      <x:c r="H204" s="8" t="str">
        <x:v>Identificadores, instituições, produtos/quantidades, datas e assinaturas; confirmar por tipo.</x:v>
      </x:c>
      <x:c r="I204" s="8" t="str">
        <x:v>Cabeçalho extraído; estrutura preservada no PDF</x:v>
      </x:c>
    </x:row>
    <x:row r="205" ht="84" customHeight="1">
      <x:c r="A205" s="8" t="str">
        <x:v>ED-0069</x:v>
      </x:c>
      <x:c r="B205" s="8" t="str">
        <x:v>DOC-0077</x:v>
      </x:c>
      <x:c r="C205" s="8" t="str">
        <x:v>Sinop</x:v>
      </x:c>
      <x:c r="D205" s="8" t="str">
        <x:v>III</x:v>
      </x:c>
      <x:c r="E205" s="8" t="str">
        <x:v>PROJETO DE VENDAS PARA OS GRUPOS FORMAIS</x:v>
      </x:c>
      <x:c r="F205" s="8" t="n">
        <x:v>34</x:v>
      </x:c>
      <x:c r="G205" s="8" t="str">
        <x:v>PNAE_MT_2025/12_SINOP/DOC-0077_762c78d9-033d-49a2-81cc-9952333825e8.pdf</x:v>
      </x:c>
      <x:c r="H205" s="8" t="str">
        <x:v>Identificadores, instituições, produtos/quantidades, datas e assinaturas; confirmar por tipo.</x:v>
      </x:c>
      <x:c r="I205" s="8" t="str">
        <x:v>Cabeçalho extraído; estrutura preservada no PDF</x:v>
      </x:c>
    </x:row>
    <x:row r="206" ht="84" customHeight="1">
      <x:c r="A206" s="8" t="str">
        <x:v>ED-0069</x:v>
      </x:c>
      <x:c r="B206" s="8" t="str">
        <x:v>DOC-0077</x:v>
      </x:c>
      <x:c r="C206" s="8" t="str">
        <x:v>Sinop</x:v>
      </x:c>
      <x:c r="D206" s="8" t="str">
        <x:v>IV</x:v>
      </x:c>
      <x:c r="E206" s="8" t="str">
        <x:v>RELAÇÃO DAS UNIDADES ESCOLARES CONTEMPLADAS</x:v>
      </x:c>
      <x:c r="F206" s="8" t="n">
        <x:v>36</x:v>
      </x:c>
      <x:c r="G206" s="8" t="str">
        <x:v>PNAE_MT_2025/12_SINOP/DOC-0077_762c78d9-033d-49a2-81cc-9952333825e8.pdf</x:v>
      </x:c>
      <x:c r="H206" s="8" t="str">
        <x:v>Identificadores, instituições, produtos/quantidades, datas e assinaturas; confirmar por tipo.</x:v>
      </x:c>
      <x:c r="I206" s="8" t="str">
        <x:v>Cabeçalho extraído; estrutura preservada no PDF</x:v>
      </x:c>
    </x:row>
    <x:row r="207" ht="84" customHeight="1">
      <x:c r="A207" s="8" t="str">
        <x:v>ED-0069</x:v>
      </x:c>
      <x:c r="B207" s="8" t="str">
        <x:v>DOC-0077</x:v>
      </x:c>
      <x:c r="C207" s="8" t="str">
        <x:v>Sinop</x:v>
      </x:c>
      <x:c r="D207" s="8" t="str">
        <x:v>V</x:v>
      </x:c>
      <x:c r="E207" s="8" t="str">
        <x:v>RESULTADO DA CHAMADA PÚBLICA</x:v>
      </x:c>
      <x:c r="F207" s="8" t="n">
        <x:v>37</x:v>
      </x:c>
      <x:c r="G207" s="8" t="str">
        <x:v>PNAE_MT_2025/12_SINOP/DOC-0077_762c78d9-033d-49a2-81cc-9952333825e8.pdf</x:v>
      </x:c>
      <x:c r="H207" s="8" t="str">
        <x:v>Identificadores, instituições, produtos/quantidades, datas e assinaturas; confirmar por tipo.</x:v>
      </x:c>
      <x:c r="I207" s="8" t="str">
        <x:v>Cabeçalho extraído; estrutura preservada no PDF</x:v>
      </x:c>
    </x:row>
    <x:row r="208" ht="84" customHeight="1">
      <x:c r="A208" s="8" t="str">
        <x:v>ED-0069</x:v>
      </x:c>
      <x:c r="B208" s="8" t="str">
        <x:v>DOC-0077</x:v>
      </x:c>
      <x:c r="C208" s="8" t="str">
        <x:v>Sinop</x:v>
      </x:c>
      <x:c r="D208" s="8" t="str">
        <x:v>VI</x:v>
      </x:c>
      <x:c r="E208" s="8" t="str">
        <x:v>MINUTA TERMO DE CONTRATO Nº 0XX/202X/SEDUC/MT</x:v>
      </x:c>
      <x:c r="F208" s="8" t="n">
        <x:v>38</x:v>
      </x:c>
      <x:c r="G208" s="8" t="str">
        <x:v>PNAE_MT_2025/12_SINOP/DOC-0077_762c78d9-033d-49a2-81cc-9952333825e8.pdf</x:v>
      </x:c>
      <x:c r="H208" s="8" t="str">
        <x:v>Identificadores, instituições, produtos/quantidades, datas e assinaturas; confirmar por tipo.</x:v>
      </x:c>
      <x:c r="I208" s="8" t="str">
        <x:v>Cabeçalho extraído; estrutura preservada no PDF</x:v>
      </x:c>
    </x:row>
    <x:row r="209" ht="84" customHeight="1">
      <x:c r="A209" s="8" t="str">
        <x:v>ED-0070</x:v>
      </x:c>
      <x:c r="B209" s="8" t="str">
        <x:v>DOC-0078</x:v>
      </x:c>
      <x:c r="C209" s="8" t="str">
        <x:v>Sinop</x:v>
      </x:c>
      <x:c r="D209" s="8" t="str">
        <x:v>I</x:v>
      </x:c>
      <x:c r="E209" s="8" t="str">
        <x:v>PROJETOS DE VENDAS PARA OS FORNECEDORES INDIVIDUAIS</x:v>
      </x:c>
      <x:c r="F209" s="8" t="n">
        <x:v>30</x:v>
      </x:c>
      <x:c r="G209" s="8" t="str">
        <x:v>PNAE_MT_2025/12_SINOP/DOC-0078_7272d1c5-14fa-4d35-9416-fa978aae122e.pdf</x:v>
      </x:c>
      <x:c r="H209" s="8" t="str">
        <x:v>Identificadores, instituições, produtos/quantidades, datas e assinaturas; confirmar por tipo.</x:v>
      </x:c>
      <x:c r="I209" s="8" t="str">
        <x:v>Cabeçalho extraído; estrutura preservada no PDF</x:v>
      </x:c>
    </x:row>
    <x:row r="210" ht="84" customHeight="1">
      <x:c r="A210" s="8" t="str">
        <x:v>ED-0070</x:v>
      </x:c>
      <x:c r="B210" s="8" t="str">
        <x:v>DOC-0078</x:v>
      </x:c>
      <x:c r="C210" s="8" t="str">
        <x:v>Sinop</x:v>
      </x:c>
      <x:c r="D210" s="8" t="str">
        <x:v>II</x:v>
      </x:c>
      <x:c r="E210" s="8" t="str">
        <x:v>PROJETO DE VENDAS PARA OS GRUPOS INFORMAIS PROJETO DE VENDA DE GÊNEROS ALIMENTÍCIOS DA AGRICULTURA FAMILIAR PARA ALIMENTAÇÃO ESCOLAR/PNAE</x:v>
      </x:c>
      <x:c r="F210" s="8" t="n">
        <x:v>32</x:v>
      </x:c>
      <x:c r="G210" s="8" t="str">
        <x:v>PNAE_MT_2025/12_SINOP/DOC-0078_7272d1c5-14fa-4d35-9416-fa978aae122e.pdf</x:v>
      </x:c>
      <x:c r="H210" s="8" t="str">
        <x:v>Identificadores, instituições, produtos/quantidades, datas e assinaturas; confirmar por tipo.</x:v>
      </x:c>
      <x:c r="I210" s="8" t="str">
        <x:v>Cabeçalho extraído; estrutura preservada no PDF</x:v>
      </x:c>
    </x:row>
    <x:row r="211" ht="84" customHeight="1">
      <x:c r="A211" s="8" t="str">
        <x:v>ED-0070</x:v>
      </x:c>
      <x:c r="B211" s="8" t="str">
        <x:v>DOC-0078</x:v>
      </x:c>
      <x:c r="C211" s="8" t="str">
        <x:v>Sinop</x:v>
      </x:c>
      <x:c r="D211" s="8" t="str">
        <x:v>III</x:v>
      </x:c>
      <x:c r="E211" s="8" t="str">
        <x:v>PROJETO DE VENDAS PARA OS GRUPOS FORMAIS</x:v>
      </x:c>
      <x:c r="F211" s="8" t="n">
        <x:v>34</x:v>
      </x:c>
      <x:c r="G211" s="8" t="str">
        <x:v>PNAE_MT_2025/12_SINOP/DOC-0078_7272d1c5-14fa-4d35-9416-fa978aae122e.pdf</x:v>
      </x:c>
      <x:c r="H211" s="8" t="str">
        <x:v>Identificadores, instituições, produtos/quantidades, datas e assinaturas; confirmar por tipo.</x:v>
      </x:c>
      <x:c r="I211" s="8" t="str">
        <x:v>Cabeçalho extraído; estrutura preservada no PDF</x:v>
      </x:c>
    </x:row>
    <x:row r="212" ht="84" customHeight="1">
      <x:c r="A212" s="8" t="str">
        <x:v>ED-0070</x:v>
      </x:c>
      <x:c r="B212" s="8" t="str">
        <x:v>DOC-0078</x:v>
      </x:c>
      <x:c r="C212" s="8" t="str">
        <x:v>Sinop</x:v>
      </x:c>
      <x:c r="D212" s="8" t="str">
        <x:v>IV</x:v>
      </x:c>
      <x:c r="E212" s="8" t="str">
        <x:v>RELAÇÃO DAS UNIDADES ESCOLARES CONTEMPLADAS</x:v>
      </x:c>
      <x:c r="F212" s="8" t="n">
        <x:v>35</x:v>
      </x:c>
      <x:c r="G212" s="8" t="str">
        <x:v>PNAE_MT_2025/12_SINOP/DOC-0078_7272d1c5-14fa-4d35-9416-fa978aae122e.pdf</x:v>
      </x:c>
      <x:c r="H212" s="8" t="str">
        <x:v>Identificadores, instituições, produtos/quantidades, datas e assinaturas; confirmar por tipo.</x:v>
      </x:c>
      <x:c r="I212" s="8" t="str">
        <x:v>Cabeçalho extraído; estrutura preservada no PDF</x:v>
      </x:c>
    </x:row>
    <x:row r="213" ht="84" customHeight="1">
      <x:c r="A213" s="8" t="str">
        <x:v>ED-0070</x:v>
      </x:c>
      <x:c r="B213" s="8" t="str">
        <x:v>DOC-0078</x:v>
      </x:c>
      <x:c r="C213" s="8" t="str">
        <x:v>Sinop</x:v>
      </x:c>
      <x:c r="D213" s="8" t="str">
        <x:v>V</x:v>
      </x:c>
      <x:c r="E213" s="8" t="str">
        <x:v>RESULTADO DA CHAMADA PÚBLICA</x:v>
      </x:c>
      <x:c r="F213" s="8" t="n">
        <x:v>36</x:v>
      </x:c>
      <x:c r="G213" s="8" t="str">
        <x:v>PNAE_MT_2025/12_SINOP/DOC-0078_7272d1c5-14fa-4d35-9416-fa978aae122e.pdf</x:v>
      </x:c>
      <x:c r="H213" s="8" t="str">
        <x:v>Identificadores, instituições, produtos/quantidades, datas e assinaturas; confirmar por tipo.</x:v>
      </x:c>
      <x:c r="I213" s="8" t="str">
        <x:v>Cabeçalho extraído; estrutura preservada no PDF</x:v>
      </x:c>
    </x:row>
    <x:row r="214" ht="84" customHeight="1">
      <x:c r="A214" s="8" t="str">
        <x:v>ED-0070</x:v>
      </x:c>
      <x:c r="B214" s="8" t="str">
        <x:v>DOC-0078</x:v>
      </x:c>
      <x:c r="C214" s="8" t="str">
        <x:v>Sinop</x:v>
      </x:c>
      <x:c r="D214" s="8" t="str">
        <x:v>VI</x:v>
      </x:c>
      <x:c r="E214" s="8" t="str">
        <x:v>MINUTA TERMO DE CONTRATO Nº 0XX/202X/SEDUC/MT</x:v>
      </x:c>
      <x:c r="F214" s="8" t="n">
        <x:v>37</x:v>
      </x:c>
      <x:c r="G214" s="8" t="str">
        <x:v>PNAE_MT_2025/12_SINOP/DOC-0078_7272d1c5-14fa-4d35-9416-fa978aae122e.pdf</x:v>
      </x:c>
      <x:c r="H214" s="8" t="str">
        <x:v>Identificadores, instituições, produtos/quantidades, datas e assinaturas; confirmar por tipo.</x:v>
      </x:c>
      <x:c r="I214" s="8" t="str">
        <x:v>Cabeçalho extraído; estrutura preservada no PDF</x:v>
      </x:c>
    </x:row>
    <x:row r="215" ht="84" customHeight="1">
      <x:c r="A215" s="8" t="str">
        <x:v>ED-0071</x:v>
      </x:c>
      <x:c r="B215" s="8" t="str">
        <x:v>DOC-0079</x:v>
      </x:c>
      <x:c r="C215" s="8" t="str">
        <x:v>Sinop</x:v>
      </x:c>
      <x:c r="D215" s="8" t="str">
        <x:v>I</x:v>
      </x:c>
      <x:c r="E215" s="8" t="str">
        <x:v>PROJETOS DE VENDAS PARA OS FORNECEDORES INDIVIDUAIS</x:v>
      </x:c>
      <x:c r="F215" s="8" t="n">
        <x:v>28</x:v>
      </x:c>
      <x:c r="G215" s="8" t="str">
        <x:v>PNAE_MT_2025/12_SINOP/DOC-0079_dc2650b4-75f5-4259-83e4-67d7ac91d586.pdf</x:v>
      </x:c>
      <x:c r="H215" s="8" t="str">
        <x:v>Identificadores, instituições, produtos/quantidades, datas e assinaturas; confirmar por tipo.</x:v>
      </x:c>
      <x:c r="I215" s="8" t="str">
        <x:v>Cabeçalho extraído; estrutura preservada no PDF</x:v>
      </x:c>
    </x:row>
    <x:row r="216" ht="84" customHeight="1">
      <x:c r="A216" s="8" t="str">
        <x:v>ED-0071</x:v>
      </x:c>
      <x:c r="B216" s="8" t="str">
        <x:v>DOC-0079</x:v>
      </x:c>
      <x:c r="C216" s="8" t="str">
        <x:v>Sinop</x:v>
      </x:c>
      <x:c r="D216" s="8" t="str">
        <x:v>II</x:v>
      </x:c>
      <x:c r="E216" s="8" t="str">
        <x:v>PROJETO DE VENDAS PARA OS GRUPOS INFORMAIS PROJETO DE VENDA DE GÊNEROS ALIMENTÍCIOS DA AGRICULTURA FAMILIAR PARA ALIMENTAÇÃO ESCOLAR/PNAE</x:v>
      </x:c>
      <x:c r="F216" s="8" t="n">
        <x:v>30</x:v>
      </x:c>
      <x:c r="G216" s="8" t="str">
        <x:v>PNAE_MT_2025/12_SINOP/DOC-0079_dc2650b4-75f5-4259-83e4-67d7ac91d586.pdf</x:v>
      </x:c>
      <x:c r="H216" s="8" t="str">
        <x:v>Identificadores, instituições, produtos/quantidades, datas e assinaturas; confirmar por tipo.</x:v>
      </x:c>
      <x:c r="I216" s="8" t="str">
        <x:v>Cabeçalho extraído; estrutura preservada no PDF</x:v>
      </x:c>
    </x:row>
    <x:row r="217" ht="84" customHeight="1">
      <x:c r="A217" s="8" t="str">
        <x:v>ED-0071</x:v>
      </x:c>
      <x:c r="B217" s="8" t="str">
        <x:v>DOC-0079</x:v>
      </x:c>
      <x:c r="C217" s="8" t="str">
        <x:v>Sinop</x:v>
      </x:c>
      <x:c r="D217" s="8" t="str">
        <x:v>III</x:v>
      </x:c>
      <x:c r="E217" s="8" t="str">
        <x:v>PROJETO DE VENDAS PARA OS GRUPOS FORMAIS</x:v>
      </x:c>
      <x:c r="F217" s="8" t="n">
        <x:v>32</x:v>
      </x:c>
      <x:c r="G217" s="8" t="str">
        <x:v>PNAE_MT_2025/12_SINOP/DOC-0079_dc2650b4-75f5-4259-83e4-67d7ac91d586.pdf</x:v>
      </x:c>
      <x:c r="H217" s="8" t="str">
        <x:v>Identificadores, instituições, produtos/quantidades, datas e assinaturas; confirmar por tipo.</x:v>
      </x:c>
      <x:c r="I217" s="8" t="str">
        <x:v>Cabeçalho extraído; estrutura preservada no PDF</x:v>
      </x:c>
    </x:row>
    <x:row r="218" ht="84" customHeight="1">
      <x:c r="A218" s="8" t="str">
        <x:v>ED-0071</x:v>
      </x:c>
      <x:c r="B218" s="8" t="str">
        <x:v>DOC-0079</x:v>
      </x:c>
      <x:c r="C218" s="8" t="str">
        <x:v>Sinop</x:v>
      </x:c>
      <x:c r="D218" s="8" t="str">
        <x:v>IV</x:v>
      </x:c>
      <x:c r="E218" s="8" t="str">
        <x:v>RELAÇÃO DAS UNIDADES ESCOLARES CONTEMPLADAS</x:v>
      </x:c>
      <x:c r="F218" s="8" t="n">
        <x:v>33</x:v>
      </x:c>
      <x:c r="G218" s="8" t="str">
        <x:v>PNAE_MT_2025/12_SINOP/DOC-0079_dc2650b4-75f5-4259-83e4-67d7ac91d586.pdf</x:v>
      </x:c>
      <x:c r="H218" s="8" t="str">
        <x:v>Identificadores, instituições, produtos/quantidades, datas e assinaturas; confirmar por tipo.</x:v>
      </x:c>
      <x:c r="I218" s="8" t="str">
        <x:v>Cabeçalho extraído; estrutura preservada no PDF</x:v>
      </x:c>
    </x:row>
    <x:row r="219" ht="84" customHeight="1">
      <x:c r="A219" s="8" t="str">
        <x:v>ED-0071</x:v>
      </x:c>
      <x:c r="B219" s="8" t="str">
        <x:v>DOC-0079</x:v>
      </x:c>
      <x:c r="C219" s="8" t="str">
        <x:v>Sinop</x:v>
      </x:c>
      <x:c r="D219" s="8" t="str">
        <x:v>V</x:v>
      </x:c>
      <x:c r="E219" s="8" t="str">
        <x:v>RESULTADO DA CHAMADA PÚBLICA</x:v>
      </x:c>
      <x:c r="F219" s="8" t="n">
        <x:v>34</x:v>
      </x:c>
      <x:c r="G219" s="8" t="str">
        <x:v>PNAE_MT_2025/12_SINOP/DOC-0079_dc2650b4-75f5-4259-83e4-67d7ac91d586.pdf</x:v>
      </x:c>
      <x:c r="H219" s="8" t="str">
        <x:v>Identificadores, instituições, produtos/quantidades, datas e assinaturas; confirmar por tipo.</x:v>
      </x:c>
      <x:c r="I219" s="8" t="str">
        <x:v>Cabeçalho extraído; estrutura preservada no PDF</x:v>
      </x:c>
    </x:row>
    <x:row r="220" ht="84" customHeight="1">
      <x:c r="A220" s="8" t="str">
        <x:v>ED-0071</x:v>
      </x:c>
      <x:c r="B220" s="8" t="str">
        <x:v>DOC-0079</x:v>
      </x:c>
      <x:c r="C220" s="8" t="str">
        <x:v>Sinop</x:v>
      </x:c>
      <x:c r="D220" s="8" t="str">
        <x:v>VI</x:v>
      </x:c>
      <x:c r="E220" s="8" t="str">
        <x:v>MINUTA TERMO DE CONTRATO Nº 0XX/202X/SEDUC/MT</x:v>
      </x:c>
      <x:c r="F220" s="8" t="n">
        <x:v>35</x:v>
      </x:c>
      <x:c r="G220" s="8" t="str">
        <x:v>PNAE_MT_2025/12_SINOP/DOC-0079_dc2650b4-75f5-4259-83e4-67d7ac91d586.pdf</x:v>
      </x:c>
      <x:c r="H220" s="8" t="str">
        <x:v>Identificadores, instituições, produtos/quantidades, datas e assinaturas; confirmar por tipo.</x:v>
      </x:c>
      <x:c r="I220" s="8" t="str">
        <x:v>Cabeçalho extraído; estrutura preservada no PDF</x:v>
      </x:c>
    </x:row>
    <x:row r="221" ht="84" customHeight="1">
      <x:c r="A221" s="8" t="str">
        <x:v>ED-0072</x:v>
      </x:c>
      <x:c r="B221" s="8" t="str">
        <x:v>DOC-0080</x:v>
      </x:c>
      <x:c r="C221" s="8" t="str">
        <x:v>Sinop</x:v>
      </x:c>
      <x:c r="D221" s="8" t="str">
        <x:v>I</x:v>
      </x:c>
      <x:c r="E221" s="8" t="str">
        <x:v>PROJETOS DE VENDAS PARA OS FORNECEDORES INDIVIDUAIS</x:v>
      </x:c>
      <x:c r="F221" s="8" t="n">
        <x:v>29</x:v>
      </x:c>
      <x:c r="G221" s="8" t="str">
        <x:v>PNAE_MT_2025/12_SINOP/DOC-0080_912f5800-b74c-4a39-8a20-e86bacc363b1.pdf</x:v>
      </x:c>
      <x:c r="H221" s="8" t="str">
        <x:v>Identificadores, instituições, produtos/quantidades, datas e assinaturas; confirmar por tipo.</x:v>
      </x:c>
      <x:c r="I221" s="8" t="str">
        <x:v>Cabeçalho extraído; estrutura preservada no PDF</x:v>
      </x:c>
    </x:row>
    <x:row r="222" ht="84" customHeight="1">
      <x:c r="A222" s="8" t="str">
        <x:v>ED-0072</x:v>
      </x:c>
      <x:c r="B222" s="8" t="str">
        <x:v>DOC-0080</x:v>
      </x:c>
      <x:c r="C222" s="8" t="str">
        <x:v>Sinop</x:v>
      </x:c>
      <x:c r="D222" s="8" t="str">
        <x:v>II</x:v>
      </x:c>
      <x:c r="E222" s="8" t="str">
        <x:v>PROJETO DE VENDAS PARA OS GRUPOS INFORMAIS PROJETO DE VENDA DE GÊNEROS ALIMENTÍCIOS DA AGRICULTURA FAMILIAR PARA ALIMENTAÇÃO ESCOLAR/PNAE</x:v>
      </x:c>
      <x:c r="F222" s="8" t="n">
        <x:v>31</x:v>
      </x:c>
      <x:c r="G222" s="8" t="str">
        <x:v>PNAE_MT_2025/12_SINOP/DOC-0080_912f5800-b74c-4a39-8a20-e86bacc363b1.pdf</x:v>
      </x:c>
      <x:c r="H222" s="8" t="str">
        <x:v>Identificadores, instituições, produtos/quantidades, datas e assinaturas; confirmar por tipo.</x:v>
      </x:c>
      <x:c r="I222" s="8" t="str">
        <x:v>Cabeçalho extraído; estrutura preservada no PDF</x:v>
      </x:c>
    </x:row>
    <x:row r="223" ht="84" customHeight="1">
      <x:c r="A223" s="8" t="str">
        <x:v>ED-0072</x:v>
      </x:c>
      <x:c r="B223" s="8" t="str">
        <x:v>DOC-0080</x:v>
      </x:c>
      <x:c r="C223" s="8" t="str">
        <x:v>Sinop</x:v>
      </x:c>
      <x:c r="D223" s="8" t="str">
        <x:v>III</x:v>
      </x:c>
      <x:c r="E223" s="8" t="str">
        <x:v>PROJETO DE VENDAS PARA OS GRUPOS FORMAIS</x:v>
      </x:c>
      <x:c r="F223" s="8" t="n">
        <x:v>33</x:v>
      </x:c>
      <x:c r="G223" s="8" t="str">
        <x:v>PNAE_MT_2025/12_SINOP/DOC-0080_912f5800-b74c-4a39-8a20-e86bacc363b1.pdf</x:v>
      </x:c>
      <x:c r="H223" s="8" t="str">
        <x:v>Identificadores, instituições, produtos/quantidades, datas e assinaturas; confirmar por tipo.</x:v>
      </x:c>
      <x:c r="I223" s="8" t="str">
        <x:v>Cabeçalho extraído; estrutura preservada no PDF</x:v>
      </x:c>
    </x:row>
    <x:row r="224" ht="84" customHeight="1">
      <x:c r="A224" s="8" t="str">
        <x:v>ED-0072</x:v>
      </x:c>
      <x:c r="B224" s="8" t="str">
        <x:v>DOC-0080</x:v>
      </x:c>
      <x:c r="C224" s="8" t="str">
        <x:v>Sinop</x:v>
      </x:c>
      <x:c r="D224" s="8" t="str">
        <x:v>IV</x:v>
      </x:c>
      <x:c r="E224" s="8" t="str">
        <x:v>RELAÇÃO DAS UNIDADES ESCOLARES CONTEMPLADAS</x:v>
      </x:c>
      <x:c r="F224" s="8" t="n">
        <x:v>34</x:v>
      </x:c>
      <x:c r="G224" s="8" t="str">
        <x:v>PNAE_MT_2025/12_SINOP/DOC-0080_912f5800-b74c-4a39-8a20-e86bacc363b1.pdf</x:v>
      </x:c>
      <x:c r="H224" s="8" t="str">
        <x:v>Identificadores, instituições, produtos/quantidades, datas e assinaturas; confirmar por tipo.</x:v>
      </x:c>
      <x:c r="I224" s="8" t="str">
        <x:v>Cabeçalho extraído; estrutura preservada no PDF</x:v>
      </x:c>
    </x:row>
    <x:row r="225" ht="84" customHeight="1">
      <x:c r="A225" s="8" t="str">
        <x:v>ED-0072</x:v>
      </x:c>
      <x:c r="B225" s="8" t="str">
        <x:v>DOC-0080</x:v>
      </x:c>
      <x:c r="C225" s="8" t="str">
        <x:v>Sinop</x:v>
      </x:c>
      <x:c r="D225" s="8" t="str">
        <x:v>V</x:v>
      </x:c>
      <x:c r="E225" s="8" t="str">
        <x:v>RESULTADO DA CHAMADA PÚBLICA</x:v>
      </x:c>
      <x:c r="F225" s="8" t="n">
        <x:v>35</x:v>
      </x:c>
      <x:c r="G225" s="8" t="str">
        <x:v>PNAE_MT_2025/12_SINOP/DOC-0080_912f5800-b74c-4a39-8a20-e86bacc363b1.pdf</x:v>
      </x:c>
      <x:c r="H225" s="8" t="str">
        <x:v>Identificadores, instituições, produtos/quantidades, datas e assinaturas; confirmar por tipo.</x:v>
      </x:c>
      <x:c r="I225" s="8" t="str">
        <x:v>Cabeçalho extraído; estrutura preservada no PDF</x:v>
      </x:c>
    </x:row>
    <x:row r="226" ht="84" customHeight="1">
      <x:c r="A226" s="8" t="str">
        <x:v>ED-0072</x:v>
      </x:c>
      <x:c r="B226" s="8" t="str">
        <x:v>DOC-0080</x:v>
      </x:c>
      <x:c r="C226" s="8" t="str">
        <x:v>Sinop</x:v>
      </x:c>
      <x:c r="D226" s="8" t="str">
        <x:v>VI</x:v>
      </x:c>
      <x:c r="E226" s="8" t="str">
        <x:v>MINUTA TERMO DE CONTRATO Nº 0XX/202X/SEDUC/MT</x:v>
      </x:c>
      <x:c r="F226" s="8" t="n">
        <x:v>36</x:v>
      </x:c>
      <x:c r="G226" s="8" t="str">
        <x:v>PNAE_MT_2025/12_SINOP/DOC-0080_912f5800-b74c-4a39-8a20-e86bacc363b1.pdf</x:v>
      </x:c>
      <x:c r="H226" s="8" t="str">
        <x:v>Identificadores, instituições, produtos/quantidades, datas e assinaturas; confirmar por tipo.</x:v>
      </x:c>
      <x:c r="I226" s="8" t="str">
        <x:v>Cabeçalho extraído; estrutura preservada no PDF</x:v>
      </x:c>
    </x:row>
    <x:row r="227" ht="84" customHeight="1">
      <x:c r="A227" s="8" t="str">
        <x:v>ED-0073</x:v>
      </x:c>
      <x:c r="B227" s="8" t="str">
        <x:v>DOC-0081</x:v>
      </x:c>
      <x:c r="C227" s="8" t="str">
        <x:v>Sinop</x:v>
      </x:c>
      <x:c r="D227" s="8" t="str">
        <x:v>I</x:v>
      </x:c>
      <x:c r="E227" s="8" t="str">
        <x:v>PROJETOS DE VENDAS PARA OS FORNECEDORES INDIVIDUAIS</x:v>
      </x:c>
      <x:c r="F227" s="8" t="n">
        <x:v>29</x:v>
      </x:c>
      <x:c r="G227" s="8" t="str">
        <x:v>PNAE_MT_2025/12_SINOP/DOC-0081_bd8b8e50-3336-4f3c-b477-295a07c42a73.pdf</x:v>
      </x:c>
      <x:c r="H227" s="8" t="str">
        <x:v>Identificadores, instituições, produtos/quantidades, datas e assinaturas; confirmar por tipo.</x:v>
      </x:c>
      <x:c r="I227" s="8" t="str">
        <x:v>Cabeçalho extraído; estrutura preservada no PDF</x:v>
      </x:c>
    </x:row>
    <x:row r="228" ht="84" customHeight="1">
      <x:c r="A228" s="8" t="str">
        <x:v>ED-0073</x:v>
      </x:c>
      <x:c r="B228" s="8" t="str">
        <x:v>DOC-0081</x:v>
      </x:c>
      <x:c r="C228" s="8" t="str">
        <x:v>Sinop</x:v>
      </x:c>
      <x:c r="D228" s="8" t="str">
        <x:v>II</x:v>
      </x:c>
      <x:c r="E228" s="8" t="str">
        <x:v>PROJETO DE VENDAS PARA OS GRUPOS INFORMAIS PROJETO DE VENDA DE GÊNEROS ALIMENTÍCIOS DA AGRICULTURA FAMILIAR PARA ALIMENTAÇÃO ESCOLAR/PNAE</x:v>
      </x:c>
      <x:c r="F228" s="8" t="n">
        <x:v>31</x:v>
      </x:c>
      <x:c r="G228" s="8" t="str">
        <x:v>PNAE_MT_2025/12_SINOP/DOC-0081_bd8b8e50-3336-4f3c-b477-295a07c42a73.pdf</x:v>
      </x:c>
      <x:c r="H228" s="8" t="str">
        <x:v>Identificadores, instituições, produtos/quantidades, datas e assinaturas; confirmar por tipo.</x:v>
      </x:c>
      <x:c r="I228" s="8" t="str">
        <x:v>Cabeçalho extraído; estrutura preservada no PDF</x:v>
      </x:c>
    </x:row>
    <x:row r="229" ht="84" customHeight="1">
      <x:c r="A229" s="8" t="str">
        <x:v>ED-0073</x:v>
      </x:c>
      <x:c r="B229" s="8" t="str">
        <x:v>DOC-0081</x:v>
      </x:c>
      <x:c r="C229" s="8" t="str">
        <x:v>Sinop</x:v>
      </x:c>
      <x:c r="D229" s="8" t="str">
        <x:v>III</x:v>
      </x:c>
      <x:c r="E229" s="8" t="str">
        <x:v>PROJETO DE VENDAS PARA OS GRUPOS FORMAIS</x:v>
      </x:c>
      <x:c r="F229" s="8" t="n">
        <x:v>33</x:v>
      </x:c>
      <x:c r="G229" s="8" t="str">
        <x:v>PNAE_MT_2025/12_SINOP/DOC-0081_bd8b8e50-3336-4f3c-b477-295a07c42a73.pdf</x:v>
      </x:c>
      <x:c r="H229" s="8" t="str">
        <x:v>Identificadores, instituições, produtos/quantidades, datas e assinaturas; confirmar por tipo.</x:v>
      </x:c>
      <x:c r="I229" s="8" t="str">
        <x:v>Cabeçalho extraído; estrutura preservada no PDF</x:v>
      </x:c>
    </x:row>
    <x:row r="230" ht="84" customHeight="1">
      <x:c r="A230" s="8" t="str">
        <x:v>ED-0073</x:v>
      </x:c>
      <x:c r="B230" s="8" t="str">
        <x:v>DOC-0081</x:v>
      </x:c>
      <x:c r="C230" s="8" t="str">
        <x:v>Sinop</x:v>
      </x:c>
      <x:c r="D230" s="8" t="str">
        <x:v>IV</x:v>
      </x:c>
      <x:c r="E230" s="8" t="str">
        <x:v>RELAÇÃO DAS UNIDADES ESCOLARES CONTEMPLADAS</x:v>
      </x:c>
      <x:c r="F230" s="8" t="n">
        <x:v>35</x:v>
      </x:c>
      <x:c r="G230" s="8" t="str">
        <x:v>PNAE_MT_2025/12_SINOP/DOC-0081_bd8b8e50-3336-4f3c-b477-295a07c42a73.pdf</x:v>
      </x:c>
      <x:c r="H230" s="8" t="str">
        <x:v>Identificadores, instituições, produtos/quantidades, datas e assinaturas; confirmar por tipo.</x:v>
      </x:c>
      <x:c r="I230" s="8" t="str">
        <x:v>Cabeçalho extraído; estrutura preservada no PDF</x:v>
      </x:c>
    </x:row>
    <x:row r="231" ht="84" customHeight="1">
      <x:c r="A231" s="8" t="str">
        <x:v>ED-0073</x:v>
      </x:c>
      <x:c r="B231" s="8" t="str">
        <x:v>DOC-0081</x:v>
      </x:c>
      <x:c r="C231" s="8" t="str">
        <x:v>Sinop</x:v>
      </x:c>
      <x:c r="D231" s="8" t="str">
        <x:v>V</x:v>
      </x:c>
      <x:c r="E231" s="8" t="str">
        <x:v>RESULTADO DA CHAMADA PÚBLICA</x:v>
      </x:c>
      <x:c r="F231" s="8" t="n">
        <x:v>36</x:v>
      </x:c>
      <x:c r="G231" s="8" t="str">
        <x:v>PNAE_MT_2025/12_SINOP/DOC-0081_bd8b8e50-3336-4f3c-b477-295a07c42a73.pdf</x:v>
      </x:c>
      <x:c r="H231" s="8" t="str">
        <x:v>Identificadores, instituições, produtos/quantidades, datas e assinaturas; confirmar por tipo.</x:v>
      </x:c>
      <x:c r="I231" s="8" t="str">
        <x:v>Cabeçalho extraído; estrutura preservada no PDF</x:v>
      </x:c>
    </x:row>
    <x:row r="232" ht="84" customHeight="1">
      <x:c r="A232" s="8" t="str">
        <x:v>ED-0073</x:v>
      </x:c>
      <x:c r="B232" s="8" t="str">
        <x:v>DOC-0081</x:v>
      </x:c>
      <x:c r="C232" s="8" t="str">
        <x:v>Sinop</x:v>
      </x:c>
      <x:c r="D232" s="8" t="str">
        <x:v>VI</x:v>
      </x:c>
      <x:c r="E232" s="8" t="str">
        <x:v>MINUTA TERMO DE CONTRATO Nº 0XX/202X/SEDUC/MT</x:v>
      </x:c>
      <x:c r="F232" s="8" t="n">
        <x:v>37</x:v>
      </x:c>
      <x:c r="G232" s="8" t="str">
        <x:v>PNAE_MT_2025/12_SINOP/DOC-0081_bd8b8e50-3336-4f3c-b477-295a07c42a73.pdf</x:v>
      </x:c>
      <x:c r="H232" s="8" t="str">
        <x:v>Identificadores, instituições, produtos/quantidades, datas e assinaturas; confirmar por tipo.</x:v>
      </x:c>
      <x:c r="I232" s="8" t="str">
        <x:v>Cabeçalho extraído; estrutura preservada no PDF</x:v>
      </x:c>
    </x:row>
    <x:row r="233" ht="84" customHeight="1">
      <x:c r="A233" s="8" t="str">
        <x:v>ED-0074</x:v>
      </x:c>
      <x:c r="B233" s="8" t="str">
        <x:v>DOC-0082</x:v>
      </x:c>
      <x:c r="C233" s="8" t="str">
        <x:v>Sinop</x:v>
      </x:c>
      <x:c r="D233" s="8" t="str">
        <x:v>I</x:v>
      </x:c>
      <x:c r="E233" s="8" t="str">
        <x:v>PROJETOS DE VENDAS PARA OS FORNECEDORES INDIVIDUAIS</x:v>
      </x:c>
      <x:c r="F233" s="8" t="n">
        <x:v>32</x:v>
      </x:c>
      <x:c r="G233" s="8" t="str">
        <x:v>PNAE_MT_2025/12_SINOP/DOC-0082_b3b243ae-9c6f-465d-b616-bbe843f76a0a.pdf</x:v>
      </x:c>
      <x:c r="H233" s="8" t="str">
        <x:v>Identificadores, instituições, produtos/quantidades, datas e assinaturas; confirmar por tipo.</x:v>
      </x:c>
      <x:c r="I233" s="8" t="str">
        <x:v>Cabeçalho extraído; estrutura preservada no PDF</x:v>
      </x:c>
    </x:row>
    <x:row r="234" ht="84" customHeight="1">
      <x:c r="A234" s="8" t="str">
        <x:v>ED-0074</x:v>
      </x:c>
      <x:c r="B234" s="8" t="str">
        <x:v>DOC-0082</x:v>
      </x:c>
      <x:c r="C234" s="8" t="str">
        <x:v>Sinop</x:v>
      </x:c>
      <x:c r="D234" s="8" t="str">
        <x:v>II</x:v>
      </x:c>
      <x:c r="E234" s="8" t="str">
        <x:v>PROJETO DE VENDAS PARA OS GRUPOS INFORMAIS PROJETO DE VENDA DE GÊNEROS ALIMENTÍCIOS DA AGRICULTURA FAMILIAR PARA ALIMENTAÇÃO ESCOLAR/PNAE</x:v>
      </x:c>
      <x:c r="F234" s="8" t="n">
        <x:v>34</x:v>
      </x:c>
      <x:c r="G234" s="8" t="str">
        <x:v>PNAE_MT_2025/12_SINOP/DOC-0082_b3b243ae-9c6f-465d-b616-bbe843f76a0a.pdf</x:v>
      </x:c>
      <x:c r="H234" s="8" t="str">
        <x:v>Identificadores, instituições, produtos/quantidades, datas e assinaturas; confirmar por tipo.</x:v>
      </x:c>
      <x:c r="I234" s="8" t="str">
        <x:v>Cabeçalho extraído; estrutura preservada no PDF</x:v>
      </x:c>
    </x:row>
    <x:row r="235" ht="84" customHeight="1">
      <x:c r="A235" s="8" t="str">
        <x:v>ED-0074</x:v>
      </x:c>
      <x:c r="B235" s="8" t="str">
        <x:v>DOC-0082</x:v>
      </x:c>
      <x:c r="C235" s="8" t="str">
        <x:v>Sinop</x:v>
      </x:c>
      <x:c r="D235" s="8" t="str">
        <x:v>III</x:v>
      </x:c>
      <x:c r="E235" s="8" t="str">
        <x:v>PROJETO DE VENDAS PARA OS GRUPOS FORMAIS</x:v>
      </x:c>
      <x:c r="F235" s="8" t="n">
        <x:v>36</x:v>
      </x:c>
      <x:c r="G235" s="8" t="str">
        <x:v>PNAE_MT_2025/12_SINOP/DOC-0082_b3b243ae-9c6f-465d-b616-bbe843f76a0a.pdf</x:v>
      </x:c>
      <x:c r="H235" s="8" t="str">
        <x:v>Identificadores, instituições, produtos/quantidades, datas e assinaturas; confirmar por tipo.</x:v>
      </x:c>
      <x:c r="I235" s="8" t="str">
        <x:v>Cabeçalho extraído; estrutura preservada no PDF</x:v>
      </x:c>
    </x:row>
    <x:row r="236" ht="84" customHeight="1">
      <x:c r="A236" s="8" t="str">
        <x:v>ED-0074</x:v>
      </x:c>
      <x:c r="B236" s="8" t="str">
        <x:v>DOC-0082</x:v>
      </x:c>
      <x:c r="C236" s="8" t="str">
        <x:v>Sinop</x:v>
      </x:c>
      <x:c r="D236" s="8" t="str">
        <x:v>IV</x:v>
      </x:c>
      <x:c r="E236" s="8" t="str">
        <x:v>RELAÇÃO DAS UNIDADES ESCOLARES CONTEMPLADAS</x:v>
      </x:c>
      <x:c r="F236" s="8" t="n">
        <x:v>38</x:v>
      </x:c>
      <x:c r="G236" s="8" t="str">
        <x:v>PNAE_MT_2025/12_SINOP/DOC-0082_b3b243ae-9c6f-465d-b616-bbe843f76a0a.pdf</x:v>
      </x:c>
      <x:c r="H236" s="8" t="str">
        <x:v>Identificadores, instituições, produtos/quantidades, datas e assinaturas; confirmar por tipo.</x:v>
      </x:c>
      <x:c r="I236" s="8" t="str">
        <x:v>Cabeçalho extraído; estrutura preservada no PDF</x:v>
      </x:c>
    </x:row>
    <x:row r="237" ht="84" customHeight="1">
      <x:c r="A237" s="8" t="str">
        <x:v>ED-0074</x:v>
      </x:c>
      <x:c r="B237" s="8" t="str">
        <x:v>DOC-0082</x:v>
      </x:c>
      <x:c r="C237" s="8" t="str">
        <x:v>Sinop</x:v>
      </x:c>
      <x:c r="D237" s="8" t="str">
        <x:v>V</x:v>
      </x:c>
      <x:c r="E237" s="8" t="str">
        <x:v>RESULTADO DA CHAMADA PÚBLICA</x:v>
      </x:c>
      <x:c r="F237" s="8" t="n">
        <x:v>39</x:v>
      </x:c>
      <x:c r="G237" s="8" t="str">
        <x:v>PNAE_MT_2025/12_SINOP/DOC-0082_b3b243ae-9c6f-465d-b616-bbe843f76a0a.pdf</x:v>
      </x:c>
      <x:c r="H237" s="8" t="str">
        <x:v>Identificadores, instituições, produtos/quantidades, datas e assinaturas; confirmar por tipo.</x:v>
      </x:c>
      <x:c r="I237" s="8" t="str">
        <x:v>Cabeçalho extraído; estrutura preservada no PDF</x:v>
      </x:c>
    </x:row>
    <x:row r="238" ht="84" customHeight="1">
      <x:c r="A238" s="8" t="str">
        <x:v>ED-0074</x:v>
      </x:c>
      <x:c r="B238" s="8" t="str">
        <x:v>DOC-0082</x:v>
      </x:c>
      <x:c r="C238" s="8" t="str">
        <x:v>Sinop</x:v>
      </x:c>
      <x:c r="D238" s="8" t="str">
        <x:v>VI</x:v>
      </x:c>
      <x:c r="E238" s="8" t="str">
        <x:v>MINUTA TERMO DE CONTRATO Nº 0XX/202X/SEDUC/MT</x:v>
      </x:c>
      <x:c r="F238" s="8" t="n">
        <x:v>40</x:v>
      </x:c>
      <x:c r="G238" s="8" t="str">
        <x:v>PNAE_MT_2025/12_SINOP/DOC-0082_b3b243ae-9c6f-465d-b616-bbe843f76a0a.pdf</x:v>
      </x:c>
      <x:c r="H238" s="8" t="str">
        <x:v>Identificadores, instituições, produtos/quantidades, datas e assinaturas; confirmar por tipo.</x:v>
      </x:c>
      <x:c r="I238" s="8" t="str">
        <x:v>Cabeçalho extraído; estrutura preservada no PDF</x:v>
      </x:c>
    </x:row>
    <x:row r="239" ht="84" customHeight="1">
      <x:c r="A239" s="8" t="str">
        <x:v>ED-0075</x:v>
      </x:c>
      <x:c r="B239" s="8" t="str">
        <x:v>DOC-0083</x:v>
      </x:c>
      <x:c r="C239" s="8" t="str">
        <x:v>Sinop</x:v>
      </x:c>
      <x:c r="D239" s="8" t="str">
        <x:v>I</x:v>
      </x:c>
      <x:c r="E239" s="8" t="str">
        <x:v>PROJETOS DE VENDAS PARA OS FORNECEDORES INDIVIDUAIS</x:v>
      </x:c>
      <x:c r="F239" s="8" t="n">
        <x:v>28</x:v>
      </x:c>
      <x:c r="G239" s="8" t="str">
        <x:v>PNAE_MT_2025/12_SINOP/DOC-0083_60ecd063-24c4-4325-8689-129e23d2e25b.pdf</x:v>
      </x:c>
      <x:c r="H239" s="8" t="str">
        <x:v>Identificadores, instituições, produtos/quantidades, datas e assinaturas; confirmar por tipo.</x:v>
      </x:c>
      <x:c r="I239" s="8" t="str">
        <x:v>Cabeçalho extraído; estrutura preservada no PDF</x:v>
      </x:c>
    </x:row>
    <x:row r="240" ht="84" customHeight="1">
      <x:c r="A240" s="8" t="str">
        <x:v>ED-0075</x:v>
      </x:c>
      <x:c r="B240" s="8" t="str">
        <x:v>DOC-0083</x:v>
      </x:c>
      <x:c r="C240" s="8" t="str">
        <x:v>Sinop</x:v>
      </x:c>
      <x:c r="D240" s="8" t="str">
        <x:v>II</x:v>
      </x:c>
      <x:c r="E240" s="8" t="str">
        <x:v>PROJETO DE VENDAS PARA OS GRUPOS INFORMAIS PROJETO DE VENDA DE GÊNEROS ALIMENTÍCIOS DA AGRICULTURA FAMILIAR PARA ALIMENTAÇÃO ESCOLAR/PNAE</x:v>
      </x:c>
      <x:c r="F240" s="8" t="n">
        <x:v>30</x:v>
      </x:c>
      <x:c r="G240" s="8" t="str">
        <x:v>PNAE_MT_2025/12_SINOP/DOC-0083_60ecd063-24c4-4325-8689-129e23d2e25b.pdf</x:v>
      </x:c>
      <x:c r="H240" s="8" t="str">
        <x:v>Identificadores, instituições, produtos/quantidades, datas e assinaturas; confirmar por tipo.</x:v>
      </x:c>
      <x:c r="I240" s="8" t="str">
        <x:v>Cabeçalho extraído; estrutura preservada no PDF</x:v>
      </x:c>
    </x:row>
    <x:row r="241" ht="84" customHeight="1">
      <x:c r="A241" s="8" t="str">
        <x:v>ED-0075</x:v>
      </x:c>
      <x:c r="B241" s="8" t="str">
        <x:v>DOC-0083</x:v>
      </x:c>
      <x:c r="C241" s="8" t="str">
        <x:v>Sinop</x:v>
      </x:c>
      <x:c r="D241" s="8" t="str">
        <x:v>III</x:v>
      </x:c>
      <x:c r="E241" s="8" t="str">
        <x:v>PROJETO DE VENDAS PARA OS GRUPOS FORMAIS</x:v>
      </x:c>
      <x:c r="F241" s="8" t="n">
        <x:v>32</x:v>
      </x:c>
      <x:c r="G241" s="8" t="str">
        <x:v>PNAE_MT_2025/12_SINOP/DOC-0083_60ecd063-24c4-4325-8689-129e23d2e25b.pdf</x:v>
      </x:c>
      <x:c r="H241" s="8" t="str">
        <x:v>Identificadores, instituições, produtos/quantidades, datas e assinaturas; confirmar por tipo.</x:v>
      </x:c>
      <x:c r="I241" s="8" t="str">
        <x:v>Cabeçalho extraído; estrutura preservada no PDF</x:v>
      </x:c>
    </x:row>
    <x:row r="242" ht="84" customHeight="1">
      <x:c r="A242" s="8" t="str">
        <x:v>ED-0075</x:v>
      </x:c>
      <x:c r="B242" s="8" t="str">
        <x:v>DOC-0083</x:v>
      </x:c>
      <x:c r="C242" s="8" t="str">
        <x:v>Sinop</x:v>
      </x:c>
      <x:c r="D242" s="8" t="str">
        <x:v>IV</x:v>
      </x:c>
      <x:c r="E242" s="8" t="str">
        <x:v>RELAÇÃO DAS UNIDADES ESCOLARES CONTEMPLADAS</x:v>
      </x:c>
      <x:c r="F242" s="8" t="n">
        <x:v>33</x:v>
      </x:c>
      <x:c r="G242" s="8" t="str">
        <x:v>PNAE_MT_2025/12_SINOP/DOC-0083_60ecd063-24c4-4325-8689-129e23d2e25b.pdf</x:v>
      </x:c>
      <x:c r="H242" s="8" t="str">
        <x:v>Identificadores, instituições, produtos/quantidades, datas e assinaturas; confirmar por tipo.</x:v>
      </x:c>
      <x:c r="I242" s="8" t="str">
        <x:v>Cabeçalho extraído; estrutura preservada no PDF</x:v>
      </x:c>
    </x:row>
    <x:row r="243" ht="84" customHeight="1">
      <x:c r="A243" s="8" t="str">
        <x:v>ED-0075</x:v>
      </x:c>
      <x:c r="B243" s="8" t="str">
        <x:v>DOC-0083</x:v>
      </x:c>
      <x:c r="C243" s="8" t="str">
        <x:v>Sinop</x:v>
      </x:c>
      <x:c r="D243" s="8" t="str">
        <x:v>V</x:v>
      </x:c>
      <x:c r="E243" s="8" t="str">
        <x:v>RESULTADO DA CHAMADA PÚBLICA</x:v>
      </x:c>
      <x:c r="F243" s="8" t="n">
        <x:v>34</x:v>
      </x:c>
      <x:c r="G243" s="8" t="str">
        <x:v>PNAE_MT_2025/12_SINOP/DOC-0083_60ecd063-24c4-4325-8689-129e23d2e25b.pdf</x:v>
      </x:c>
      <x:c r="H243" s="8" t="str">
        <x:v>Identificadores, instituições, produtos/quantidades, datas e assinaturas; confirmar por tipo.</x:v>
      </x:c>
      <x:c r="I243" s="8" t="str">
        <x:v>Cabeçalho extraído; estrutura preservada no PDF</x:v>
      </x:c>
    </x:row>
    <x:row r="244" ht="84" customHeight="1">
      <x:c r="A244" s="8" t="str">
        <x:v>ED-0075</x:v>
      </x:c>
      <x:c r="B244" s="8" t="str">
        <x:v>DOC-0083</x:v>
      </x:c>
      <x:c r="C244" s="8" t="str">
        <x:v>Sinop</x:v>
      </x:c>
      <x:c r="D244" s="8" t="str">
        <x:v>VI</x:v>
      </x:c>
      <x:c r="E244" s="8" t="str">
        <x:v>MINUTA TERMO DE CONTRATO Nº 0XX/202X/SEDUC/MT</x:v>
      </x:c>
      <x:c r="F244" s="8" t="n">
        <x:v>35</x:v>
      </x:c>
      <x:c r="G244" s="8" t="str">
        <x:v>PNAE_MT_2025/12_SINOP/DOC-0083_60ecd063-24c4-4325-8689-129e23d2e25b.pdf</x:v>
      </x:c>
      <x:c r="H244" s="8" t="str">
        <x:v>Identificadores, instituições, produtos/quantidades, datas e assinaturas; confirmar por tipo.</x:v>
      </x:c>
      <x:c r="I244" s="8" t="str">
        <x:v>Cabeçalho extraído; estrutura preservada no PDF</x:v>
      </x:c>
    </x:row>
    <x:row r="245" ht="84" customHeight="1">
      <x:c r="A245" s="8" t="str">
        <x:v>ED-0076</x:v>
      </x:c>
      <x:c r="B245" s="8" t="str">
        <x:v>DOC-0084</x:v>
      </x:c>
      <x:c r="C245" s="8" t="str">
        <x:v>Sinop</x:v>
      </x:c>
      <x:c r="D245" s="8" t="str">
        <x:v>I</x:v>
      </x:c>
      <x:c r="E245" s="8" t="str">
        <x:v>PROJETOS DE VENDAS PARA OS FORNECEDORES INDIVIDUAIS</x:v>
      </x:c>
      <x:c r="F245" s="8" t="n">
        <x:v>29</x:v>
      </x:c>
      <x:c r="G245" s="8" t="str">
        <x:v>PNAE_MT_2025/12_SINOP/DOC-0084_a27aaf3d-adc9-4b34-ba88-5755ae46e194.pdf</x:v>
      </x:c>
      <x:c r="H245" s="8" t="str">
        <x:v>Identificadores, instituições, produtos/quantidades, datas e assinaturas; confirmar por tipo.</x:v>
      </x:c>
      <x:c r="I245" s="8" t="str">
        <x:v>Cabeçalho extraído; estrutura preservada no PDF</x:v>
      </x:c>
    </x:row>
    <x:row r="246" ht="84" customHeight="1">
      <x:c r="A246" s="8" t="str">
        <x:v>ED-0076</x:v>
      </x:c>
      <x:c r="B246" s="8" t="str">
        <x:v>DOC-0084</x:v>
      </x:c>
      <x:c r="C246" s="8" t="str">
        <x:v>Sinop</x:v>
      </x:c>
      <x:c r="D246" s="8" t="str">
        <x:v>II</x:v>
      </x:c>
      <x:c r="E246" s="8" t="str">
        <x:v>PROJETO DE VENDAS PARA OS GRUPOS INFORMAIS PROJETO DE VENDA DE GÊNEROS ALIMENTÍCIOS DA AGRICULTURA FAMILIAR PARA ALIMENTAÇÃO ESCOLAR/PNAE</x:v>
      </x:c>
      <x:c r="F246" s="8" t="n">
        <x:v>31</x:v>
      </x:c>
      <x:c r="G246" s="8" t="str">
        <x:v>PNAE_MT_2025/12_SINOP/DOC-0084_a27aaf3d-adc9-4b34-ba88-5755ae46e194.pdf</x:v>
      </x:c>
      <x:c r="H246" s="8" t="str">
        <x:v>Identificadores, instituições, produtos/quantidades, datas e assinaturas; confirmar por tipo.</x:v>
      </x:c>
      <x:c r="I246" s="8" t="str">
        <x:v>Cabeçalho extraído; estrutura preservada no PDF</x:v>
      </x:c>
    </x:row>
    <x:row r="247" ht="84" customHeight="1">
      <x:c r="A247" s="8" t="str">
        <x:v>ED-0076</x:v>
      </x:c>
      <x:c r="B247" s="8" t="str">
        <x:v>DOC-0084</x:v>
      </x:c>
      <x:c r="C247" s="8" t="str">
        <x:v>Sinop</x:v>
      </x:c>
      <x:c r="D247" s="8" t="str">
        <x:v>III</x:v>
      </x:c>
      <x:c r="E247" s="8" t="str">
        <x:v>PROJETO DE VENDAS PARA OS GRUPOS FORMAIS</x:v>
      </x:c>
      <x:c r="F247" s="8" t="n">
        <x:v>33</x:v>
      </x:c>
      <x:c r="G247" s="8" t="str">
        <x:v>PNAE_MT_2025/12_SINOP/DOC-0084_a27aaf3d-adc9-4b34-ba88-5755ae46e194.pdf</x:v>
      </x:c>
      <x:c r="H247" s="8" t="str">
        <x:v>Identificadores, instituições, produtos/quantidades, datas e assinaturas; confirmar por tipo.</x:v>
      </x:c>
      <x:c r="I247" s="8" t="str">
        <x:v>Cabeçalho extraído; estrutura preservada no PDF</x:v>
      </x:c>
    </x:row>
    <x:row r="248" ht="84" customHeight="1">
      <x:c r="A248" s="8" t="str">
        <x:v>ED-0076</x:v>
      </x:c>
      <x:c r="B248" s="8" t="str">
        <x:v>DOC-0084</x:v>
      </x:c>
      <x:c r="C248" s="8" t="str">
        <x:v>Sinop</x:v>
      </x:c>
      <x:c r="D248" s="8" t="str">
        <x:v>IV</x:v>
      </x:c>
      <x:c r="E248" s="8" t="str">
        <x:v>RELAÇÃO DAS UNIDADES ESCOLARES CONTEMPLADAS</x:v>
      </x:c>
      <x:c r="F248" s="8" t="n">
        <x:v>34</x:v>
      </x:c>
      <x:c r="G248" s="8" t="str">
        <x:v>PNAE_MT_2025/12_SINOP/DOC-0084_a27aaf3d-adc9-4b34-ba88-5755ae46e194.pdf</x:v>
      </x:c>
      <x:c r="H248" s="8" t="str">
        <x:v>Identificadores, instituições, produtos/quantidades, datas e assinaturas; confirmar por tipo.</x:v>
      </x:c>
      <x:c r="I248" s="8" t="str">
        <x:v>Cabeçalho extraído; estrutura preservada no PDF</x:v>
      </x:c>
    </x:row>
    <x:row r="249" ht="84" customHeight="1">
      <x:c r="A249" s="8" t="str">
        <x:v>ED-0076</x:v>
      </x:c>
      <x:c r="B249" s="8" t="str">
        <x:v>DOC-0084</x:v>
      </x:c>
      <x:c r="C249" s="8" t="str">
        <x:v>Sinop</x:v>
      </x:c>
      <x:c r="D249" s="8" t="str">
        <x:v>V</x:v>
      </x:c>
      <x:c r="E249" s="8" t="str">
        <x:v>RESULTADO DA CHAMADA PÚBLICA</x:v>
      </x:c>
      <x:c r="F249" s="8" t="n">
        <x:v>35</x:v>
      </x:c>
      <x:c r="G249" s="8" t="str">
        <x:v>PNAE_MT_2025/12_SINOP/DOC-0084_a27aaf3d-adc9-4b34-ba88-5755ae46e194.pdf</x:v>
      </x:c>
      <x:c r="H249" s="8" t="str">
        <x:v>Identificadores, instituições, produtos/quantidades, datas e assinaturas; confirmar por tipo.</x:v>
      </x:c>
      <x:c r="I249" s="8" t="str">
        <x:v>Cabeçalho extraído; estrutura preservada no PDF</x:v>
      </x:c>
    </x:row>
    <x:row r="250" ht="84" customHeight="1">
      <x:c r="A250" s="8" t="str">
        <x:v>ED-0076</x:v>
      </x:c>
      <x:c r="B250" s="8" t="str">
        <x:v>DOC-0084</x:v>
      </x:c>
      <x:c r="C250" s="8" t="str">
        <x:v>Sinop</x:v>
      </x:c>
      <x:c r="D250" s="8" t="str">
        <x:v>VI</x:v>
      </x:c>
      <x:c r="E250" s="8" t="str">
        <x:v>MINUTA TERMO DE CONTRATO Nº 0XX/202X/SEDUC/MT</x:v>
      </x:c>
      <x:c r="F250" s="8" t="n">
        <x:v>36</x:v>
      </x:c>
      <x:c r="G250" s="8" t="str">
        <x:v>PNAE_MT_2025/12_SINOP/DOC-0084_a27aaf3d-adc9-4b34-ba88-5755ae46e194.pdf</x:v>
      </x:c>
      <x:c r="H250" s="8" t="str">
        <x:v>Identificadores, instituições, produtos/quantidades, datas e assinaturas; confirmar por tipo.</x:v>
      </x:c>
      <x:c r="I250" s="8" t="str">
        <x:v>Cabeçalho extraído; estrutura preservada no PDF</x:v>
      </x:c>
    </x:row>
    <x:row r="251" ht="84" customHeight="1">
      <x:c r="A251" s="8" t="str">
        <x:v>ED-0077</x:v>
      </x:c>
      <x:c r="B251" s="8" t="str">
        <x:v>DOC-0085</x:v>
      </x:c>
      <x:c r="C251" s="8" t="str">
        <x:v>Sinop</x:v>
      </x:c>
      <x:c r="D251" s="8" t="str">
        <x:v>I</x:v>
      </x:c>
      <x:c r="E251" s="8" t="str">
        <x:v>PROJETOS DE VENDAS PARA OS FORNECEDORES INDIVIDUAIS</x:v>
      </x:c>
      <x:c r="F251" s="8" t="n">
        <x:v>28</x:v>
      </x:c>
      <x:c r="G251" s="8" t="str">
        <x:v>PNAE_MT_2025/12_SINOP/DOC-0085_754dca13-1a2d-4733-83a5-4bde5f1235ff.pdf</x:v>
      </x:c>
      <x:c r="H251" s="8" t="str">
        <x:v>Identificadores, instituições, produtos/quantidades, datas e assinaturas; confirmar por tipo.</x:v>
      </x:c>
      <x:c r="I251" s="8" t="str">
        <x:v>Cabeçalho extraído; estrutura preservada no PDF</x:v>
      </x:c>
    </x:row>
    <x:row r="252" ht="84" customHeight="1">
      <x:c r="A252" s="8" t="str">
        <x:v>ED-0077</x:v>
      </x:c>
      <x:c r="B252" s="8" t="str">
        <x:v>DOC-0085</x:v>
      </x:c>
      <x:c r="C252" s="8" t="str">
        <x:v>Sinop</x:v>
      </x:c>
      <x:c r="D252" s="8" t="str">
        <x:v>II</x:v>
      </x:c>
      <x:c r="E252" s="8" t="str">
        <x:v>PROJETO DE VENDAS PARA OS GRUPOS INFORMAIS PROJETO DE VENDA DE GÊNEROS ALIMENTÍCIOS DA AGRICULTURA FAMILIAR PARA ALIMENTAÇÃO ESCOLAR/PNAE</x:v>
      </x:c>
      <x:c r="F252" s="8" t="n">
        <x:v>30</x:v>
      </x:c>
      <x:c r="G252" s="8" t="str">
        <x:v>PNAE_MT_2025/12_SINOP/DOC-0085_754dca13-1a2d-4733-83a5-4bde5f1235ff.pdf</x:v>
      </x:c>
      <x:c r="H252" s="8" t="str">
        <x:v>Identificadores, instituições, produtos/quantidades, datas e assinaturas; confirmar por tipo.</x:v>
      </x:c>
      <x:c r="I252" s="8" t="str">
        <x:v>Cabeçalho extraído; estrutura preservada no PDF</x:v>
      </x:c>
    </x:row>
    <x:row r="253" ht="84" customHeight="1">
      <x:c r="A253" s="8" t="str">
        <x:v>ED-0077</x:v>
      </x:c>
      <x:c r="B253" s="8" t="str">
        <x:v>DOC-0085</x:v>
      </x:c>
      <x:c r="C253" s="8" t="str">
        <x:v>Sinop</x:v>
      </x:c>
      <x:c r="D253" s="8" t="str">
        <x:v>III</x:v>
      </x:c>
      <x:c r="E253" s="8" t="str">
        <x:v>PROJETO DE VENDAS PARA OS GRUPOS FORMAIS</x:v>
      </x:c>
      <x:c r="F253" s="8" t="n">
        <x:v>32</x:v>
      </x:c>
      <x:c r="G253" s="8" t="str">
        <x:v>PNAE_MT_2025/12_SINOP/DOC-0085_754dca13-1a2d-4733-83a5-4bde5f1235ff.pdf</x:v>
      </x:c>
      <x:c r="H253" s="8" t="str">
        <x:v>Identificadores, instituições, produtos/quantidades, datas e assinaturas; confirmar por tipo.</x:v>
      </x:c>
      <x:c r="I253" s="8" t="str">
        <x:v>Cabeçalho extraído; estrutura preservada no PDF</x:v>
      </x:c>
    </x:row>
    <x:row r="254" ht="84" customHeight="1">
      <x:c r="A254" s="8" t="str">
        <x:v>ED-0077</x:v>
      </x:c>
      <x:c r="B254" s="8" t="str">
        <x:v>DOC-0085</x:v>
      </x:c>
      <x:c r="C254" s="8" t="str">
        <x:v>Sinop</x:v>
      </x:c>
      <x:c r="D254" s="8" t="str">
        <x:v>IV</x:v>
      </x:c>
      <x:c r="E254" s="8" t="str">
        <x:v>RELAÇÃO DAS UNIDADES ESCOLARES CONTEMPLADAS</x:v>
      </x:c>
      <x:c r="F254" s="8" t="n">
        <x:v>33</x:v>
      </x:c>
      <x:c r="G254" s="8" t="str">
        <x:v>PNAE_MT_2025/12_SINOP/DOC-0085_754dca13-1a2d-4733-83a5-4bde5f1235ff.pdf</x:v>
      </x:c>
      <x:c r="H254" s="8" t="str">
        <x:v>Identificadores, instituições, produtos/quantidades, datas e assinaturas; confirmar por tipo.</x:v>
      </x:c>
      <x:c r="I254" s="8" t="str">
        <x:v>Cabeçalho extraído; estrutura preservada no PDF</x:v>
      </x:c>
    </x:row>
    <x:row r="255" ht="84" customHeight="1">
      <x:c r="A255" s="8" t="str">
        <x:v>ED-0077</x:v>
      </x:c>
      <x:c r="B255" s="8" t="str">
        <x:v>DOC-0085</x:v>
      </x:c>
      <x:c r="C255" s="8" t="str">
        <x:v>Sinop</x:v>
      </x:c>
      <x:c r="D255" s="8" t="str">
        <x:v>V</x:v>
      </x:c>
      <x:c r="E255" s="8" t="str">
        <x:v>RESULTADO DA CHAMADA PÚBLICA</x:v>
      </x:c>
      <x:c r="F255" s="8" t="n">
        <x:v>34</x:v>
      </x:c>
      <x:c r="G255" s="8" t="str">
        <x:v>PNAE_MT_2025/12_SINOP/DOC-0085_754dca13-1a2d-4733-83a5-4bde5f1235ff.pdf</x:v>
      </x:c>
      <x:c r="H255" s="8" t="str">
        <x:v>Identificadores, instituições, produtos/quantidades, datas e assinaturas; confirmar por tipo.</x:v>
      </x:c>
      <x:c r="I255" s="8" t="str">
        <x:v>Cabeçalho extraído; estrutura preservada no PDF</x:v>
      </x:c>
    </x:row>
    <x:row r="256" ht="84" customHeight="1">
      <x:c r="A256" s="8" t="str">
        <x:v>ED-0077</x:v>
      </x:c>
      <x:c r="B256" s="8" t="str">
        <x:v>DOC-0085</x:v>
      </x:c>
      <x:c r="C256" s="8" t="str">
        <x:v>Sinop</x:v>
      </x:c>
      <x:c r="D256" s="8" t="str">
        <x:v>VI</x:v>
      </x:c>
      <x:c r="E256" s="8" t="str">
        <x:v>MINUTA TERMO DE CONTRATO Nº 0XX/202X/SEDUC/MT</x:v>
      </x:c>
      <x:c r="F256" s="8" t="n">
        <x:v>35</x:v>
      </x:c>
      <x:c r="G256" s="8" t="str">
        <x:v>PNAE_MT_2025/12_SINOP/DOC-0085_754dca13-1a2d-4733-83a5-4bde5f1235ff.pdf</x:v>
      </x:c>
      <x:c r="H256" s="8" t="str">
        <x:v>Identificadores, instituições, produtos/quantidades, datas e assinaturas; confirmar por tipo.</x:v>
      </x:c>
      <x:c r="I256" s="8" t="str">
        <x:v>Cabeçalho extraído; estrutura preservada no PDF</x:v>
      </x:c>
    </x:row>
    <x:row r="257" ht="84" customHeight="1">
      <x:c r="A257" s="8" t="str">
        <x:v>ED-0078</x:v>
      </x:c>
      <x:c r="B257" s="8" t="str">
        <x:v>DOC-0086</x:v>
      </x:c>
      <x:c r="C257" s="8" t="str">
        <x:v>Sinop</x:v>
      </x:c>
      <x:c r="D257" s="8" t="str">
        <x:v>I</x:v>
      </x:c>
      <x:c r="E257" s="8" t="str">
        <x:v>PROJETOS DE VENDAS PARA OS FORNECEDORES INDIVIDUAIS</x:v>
      </x:c>
      <x:c r="F257" s="8" t="n">
        <x:v>28</x:v>
      </x:c>
      <x:c r="G257" s="8" t="str">
        <x:v>PNAE_MT_2025/12_SINOP/DOC-0086_8fdbdccf-4aac-4d5d-ab2a-951abaf48b1a.pdf</x:v>
      </x:c>
      <x:c r="H257" s="8" t="str">
        <x:v>Identificadores, instituições, produtos/quantidades, datas e assinaturas; confirmar por tipo.</x:v>
      </x:c>
      <x:c r="I257" s="8" t="str">
        <x:v>Cabeçalho extraído; estrutura preservada no PDF</x:v>
      </x:c>
    </x:row>
    <x:row r="258" ht="84" customHeight="1">
      <x:c r="A258" s="8" t="str">
        <x:v>ED-0078</x:v>
      </x:c>
      <x:c r="B258" s="8" t="str">
        <x:v>DOC-0086</x:v>
      </x:c>
      <x:c r="C258" s="8" t="str">
        <x:v>Sinop</x:v>
      </x:c>
      <x:c r="D258" s="8" t="str">
        <x:v>II</x:v>
      </x:c>
      <x:c r="E258" s="8" t="str">
        <x:v>PROJETO DE VENDAS PARA OS GRUPOS INFORMAIS PROJETO DE VENDA DE GÊNEROS ALIMENTÍCIOS DA AGRICULTURA FAMILIAR PARA ALIMENTAÇÃO ESCOLAR/PNAE</x:v>
      </x:c>
      <x:c r="F258" s="8" t="n">
        <x:v>30</x:v>
      </x:c>
      <x:c r="G258" s="8" t="str">
        <x:v>PNAE_MT_2025/12_SINOP/DOC-0086_8fdbdccf-4aac-4d5d-ab2a-951abaf48b1a.pdf</x:v>
      </x:c>
      <x:c r="H258" s="8" t="str">
        <x:v>Identificadores, instituições, produtos/quantidades, datas e assinaturas; confirmar por tipo.</x:v>
      </x:c>
      <x:c r="I258" s="8" t="str">
        <x:v>Cabeçalho extraído; estrutura preservada no PDF</x:v>
      </x:c>
    </x:row>
    <x:row r="259" ht="84" customHeight="1">
      <x:c r="A259" s="8" t="str">
        <x:v>ED-0078</x:v>
      </x:c>
      <x:c r="B259" s="8" t="str">
        <x:v>DOC-0086</x:v>
      </x:c>
      <x:c r="C259" s="8" t="str">
        <x:v>Sinop</x:v>
      </x:c>
      <x:c r="D259" s="8" t="str">
        <x:v>III</x:v>
      </x:c>
      <x:c r="E259" s="8" t="str">
        <x:v>PROJETO DE VENDAS PARA OS GRUPOS FORMAIS</x:v>
      </x:c>
      <x:c r="F259" s="8" t="n">
        <x:v>32</x:v>
      </x:c>
      <x:c r="G259" s="8" t="str">
        <x:v>PNAE_MT_2025/12_SINOP/DOC-0086_8fdbdccf-4aac-4d5d-ab2a-951abaf48b1a.pdf</x:v>
      </x:c>
      <x:c r="H259" s="8" t="str">
        <x:v>Identificadores, instituições, produtos/quantidades, datas e assinaturas; confirmar por tipo.</x:v>
      </x:c>
      <x:c r="I259" s="8" t="str">
        <x:v>Cabeçalho extraído; estrutura preservada no PDF</x:v>
      </x:c>
    </x:row>
    <x:row r="260" ht="84" customHeight="1">
      <x:c r="A260" s="8" t="str">
        <x:v>ED-0078</x:v>
      </x:c>
      <x:c r="B260" s="8" t="str">
        <x:v>DOC-0086</x:v>
      </x:c>
      <x:c r="C260" s="8" t="str">
        <x:v>Sinop</x:v>
      </x:c>
      <x:c r="D260" s="8" t="str">
        <x:v>IV</x:v>
      </x:c>
      <x:c r="E260" s="8" t="str">
        <x:v>RELAÇÃO DAS UNIDADES ESCOLARES CONTEMPLADAS</x:v>
      </x:c>
      <x:c r="F260" s="8" t="n">
        <x:v>33</x:v>
      </x:c>
      <x:c r="G260" s="8" t="str">
        <x:v>PNAE_MT_2025/12_SINOP/DOC-0086_8fdbdccf-4aac-4d5d-ab2a-951abaf48b1a.pdf</x:v>
      </x:c>
      <x:c r="H260" s="8" t="str">
        <x:v>Identificadores, instituições, produtos/quantidades, datas e assinaturas; confirmar por tipo.</x:v>
      </x:c>
      <x:c r="I260" s="8" t="str">
        <x:v>Cabeçalho extraído; estrutura preservada no PDF</x:v>
      </x:c>
    </x:row>
    <x:row r="261" ht="84" customHeight="1">
      <x:c r="A261" s="8" t="str">
        <x:v>ED-0078</x:v>
      </x:c>
      <x:c r="B261" s="8" t="str">
        <x:v>DOC-0086</x:v>
      </x:c>
      <x:c r="C261" s="8" t="str">
        <x:v>Sinop</x:v>
      </x:c>
      <x:c r="D261" s="8" t="str">
        <x:v>V</x:v>
      </x:c>
      <x:c r="E261" s="8" t="str">
        <x:v>RESULTADO DA CHAMADA PÚBLICA</x:v>
      </x:c>
      <x:c r="F261" s="8" t="n">
        <x:v>34</x:v>
      </x:c>
      <x:c r="G261" s="8" t="str">
        <x:v>PNAE_MT_2025/12_SINOP/DOC-0086_8fdbdccf-4aac-4d5d-ab2a-951abaf48b1a.pdf</x:v>
      </x:c>
      <x:c r="H261" s="8" t="str">
        <x:v>Identificadores, instituições, produtos/quantidades, datas e assinaturas; confirmar por tipo.</x:v>
      </x:c>
      <x:c r="I261" s="8" t="str">
        <x:v>Cabeçalho extraído; estrutura preservada no PDF</x:v>
      </x:c>
    </x:row>
    <x:row r="262" ht="84" customHeight="1">
      <x:c r="A262" s="8" t="str">
        <x:v>ED-0078</x:v>
      </x:c>
      <x:c r="B262" s="8" t="str">
        <x:v>DOC-0086</x:v>
      </x:c>
      <x:c r="C262" s="8" t="str">
        <x:v>Sinop</x:v>
      </x:c>
      <x:c r="D262" s="8" t="str">
        <x:v>VI</x:v>
      </x:c>
      <x:c r="E262" s="8" t="str">
        <x:v>MINUTA TERMO DE CONTRATO Nº 0XX/202X/SEDUC/MT</x:v>
      </x:c>
      <x:c r="F262" s="8" t="n">
        <x:v>35</x:v>
      </x:c>
      <x:c r="G262" s="8" t="str">
        <x:v>PNAE_MT_2025/12_SINOP/DOC-0086_8fdbdccf-4aac-4d5d-ab2a-951abaf48b1a.pdf</x:v>
      </x:c>
      <x:c r="H262" s="8" t="str">
        <x:v>Identificadores, instituições, produtos/quantidades, datas e assinaturas; confirmar por tipo.</x:v>
      </x:c>
      <x:c r="I262" s="8" t="str">
        <x:v>Cabeçalho extraído; estrutura preservada no PDF</x:v>
      </x:c>
    </x:row>
    <x:row r="263" ht="84" customHeight="1">
      <x:c r="A263" s="8" t="str">
        <x:v>ED-0079</x:v>
      </x:c>
      <x:c r="B263" s="8" t="str">
        <x:v>DOC-0087</x:v>
      </x:c>
      <x:c r="C263" s="8" t="str">
        <x:v>Sinop</x:v>
      </x:c>
      <x:c r="D263" s="8" t="str">
        <x:v>I</x:v>
      </x:c>
      <x:c r="E263" s="8" t="str">
        <x:v>PROJETOS DE VENDAS PARA OS FORNECEDORES INDIVIDUAIS</x:v>
      </x:c>
      <x:c r="F263" s="8" t="n">
        <x:v>29</x:v>
      </x:c>
      <x:c r="G263" s="8" t="str">
        <x:v>PNAE_MT_2025/12_SINOP/DOC-0087_ef4983ae-d7b6-4e0d-85e2-21406a4505c3.pdf</x:v>
      </x:c>
      <x:c r="H263" s="8" t="str">
        <x:v>Identificadores, instituições, produtos/quantidades, datas e assinaturas; confirmar por tipo.</x:v>
      </x:c>
      <x:c r="I263" s="8" t="str">
        <x:v>Cabeçalho extraído; estrutura preservada no PDF</x:v>
      </x:c>
    </x:row>
    <x:row r="264" ht="84" customHeight="1">
      <x:c r="A264" s="8" t="str">
        <x:v>ED-0079</x:v>
      </x:c>
      <x:c r="B264" s="8" t="str">
        <x:v>DOC-0087</x:v>
      </x:c>
      <x:c r="C264" s="8" t="str">
        <x:v>Sinop</x:v>
      </x:c>
      <x:c r="D264" s="8" t="str">
        <x:v>II</x:v>
      </x:c>
      <x:c r="E264" s="8" t="str">
        <x:v>PROJETO DE VENDAS PARA OS GRUPOS INFORMAIS PROJETO DE VENDA DE GÊNEROS ALIMENTÍCIOS DA AGRICULTURA FAMILIAR PARA ALIMENTAÇÃO ESCOLAR/PNAE</x:v>
      </x:c>
      <x:c r="F264" s="8" t="n">
        <x:v>31</x:v>
      </x:c>
      <x:c r="G264" s="8" t="str">
        <x:v>PNAE_MT_2025/12_SINOP/DOC-0087_ef4983ae-d7b6-4e0d-85e2-21406a4505c3.pdf</x:v>
      </x:c>
      <x:c r="H264" s="8" t="str">
        <x:v>Identificadores, instituições, produtos/quantidades, datas e assinaturas; confirmar por tipo.</x:v>
      </x:c>
      <x:c r="I264" s="8" t="str">
        <x:v>Cabeçalho extraído; estrutura preservada no PDF</x:v>
      </x:c>
    </x:row>
    <x:row r="265" ht="84" customHeight="1">
      <x:c r="A265" s="8" t="str">
        <x:v>ED-0079</x:v>
      </x:c>
      <x:c r="B265" s="8" t="str">
        <x:v>DOC-0087</x:v>
      </x:c>
      <x:c r="C265" s="8" t="str">
        <x:v>Sinop</x:v>
      </x:c>
      <x:c r="D265" s="8" t="str">
        <x:v>III</x:v>
      </x:c>
      <x:c r="E265" s="8" t="str">
        <x:v>PROJETO DE VENDAS PARA OS GRUPOS FORMAIS</x:v>
      </x:c>
      <x:c r="F265" s="8" t="n">
        <x:v>33</x:v>
      </x:c>
      <x:c r="G265" s="8" t="str">
        <x:v>PNAE_MT_2025/12_SINOP/DOC-0087_ef4983ae-d7b6-4e0d-85e2-21406a4505c3.pdf</x:v>
      </x:c>
      <x:c r="H265" s="8" t="str">
        <x:v>Identificadores, instituições, produtos/quantidades, datas e assinaturas; confirmar por tipo.</x:v>
      </x:c>
      <x:c r="I265" s="8" t="str">
        <x:v>Cabeçalho extraído; estrutura preservada no PDF</x:v>
      </x:c>
    </x:row>
    <x:row r="266" ht="84" customHeight="1">
      <x:c r="A266" s="8" t="str">
        <x:v>ED-0079</x:v>
      </x:c>
      <x:c r="B266" s="8" t="str">
        <x:v>DOC-0087</x:v>
      </x:c>
      <x:c r="C266" s="8" t="str">
        <x:v>Sinop</x:v>
      </x:c>
      <x:c r="D266" s="8" t="str">
        <x:v>IV</x:v>
      </x:c>
      <x:c r="E266" s="8" t="str">
        <x:v>RELAÇÃO DAS UNIDADES ESCOLARES CONTEMPLADAS</x:v>
      </x:c>
      <x:c r="F266" s="8" t="n">
        <x:v>34</x:v>
      </x:c>
      <x:c r="G266" s="8" t="str">
        <x:v>PNAE_MT_2025/12_SINOP/DOC-0087_ef4983ae-d7b6-4e0d-85e2-21406a4505c3.pdf</x:v>
      </x:c>
      <x:c r="H266" s="8" t="str">
        <x:v>Identificadores, instituições, produtos/quantidades, datas e assinaturas; confirmar por tipo.</x:v>
      </x:c>
      <x:c r="I266" s="8" t="str">
        <x:v>Cabeçalho extraído; estrutura preservada no PDF</x:v>
      </x:c>
    </x:row>
    <x:row r="267" ht="84" customHeight="1">
      <x:c r="A267" s="8" t="str">
        <x:v>ED-0079</x:v>
      </x:c>
      <x:c r="B267" s="8" t="str">
        <x:v>DOC-0087</x:v>
      </x:c>
      <x:c r="C267" s="8" t="str">
        <x:v>Sinop</x:v>
      </x:c>
      <x:c r="D267" s="8" t="str">
        <x:v>V</x:v>
      </x:c>
      <x:c r="E267" s="8" t="str">
        <x:v>RESULTADO DA CHAMADA PÚBLICA</x:v>
      </x:c>
      <x:c r="F267" s="8" t="n">
        <x:v>35</x:v>
      </x:c>
      <x:c r="G267" s="8" t="str">
        <x:v>PNAE_MT_2025/12_SINOP/DOC-0087_ef4983ae-d7b6-4e0d-85e2-21406a4505c3.pdf</x:v>
      </x:c>
      <x:c r="H267" s="8" t="str">
        <x:v>Identificadores, instituições, produtos/quantidades, datas e assinaturas; confirmar por tipo.</x:v>
      </x:c>
      <x:c r="I267" s="8" t="str">
        <x:v>Cabeçalho extraído; estrutura preservada no PDF</x:v>
      </x:c>
    </x:row>
    <x:row r="268" ht="84" customHeight="1">
      <x:c r="A268" s="8" t="str">
        <x:v>ED-0079</x:v>
      </x:c>
      <x:c r="B268" s="8" t="str">
        <x:v>DOC-0087</x:v>
      </x:c>
      <x:c r="C268" s="8" t="str">
        <x:v>Sinop</x:v>
      </x:c>
      <x:c r="D268" s="8" t="str">
        <x:v>VI</x:v>
      </x:c>
      <x:c r="E268" s="8" t="str">
        <x:v>MINUTA TERMO DE CONTRATO Nº 0XX/202X/SEDUC/MT</x:v>
      </x:c>
      <x:c r="F268" s="8" t="n">
        <x:v>36</x:v>
      </x:c>
      <x:c r="G268" s="8" t="str">
        <x:v>PNAE_MT_2025/12_SINOP/DOC-0087_ef4983ae-d7b6-4e0d-85e2-21406a4505c3.pdf</x:v>
      </x:c>
      <x:c r="H268" s="8" t="str">
        <x:v>Identificadores, instituições, produtos/quantidades, datas e assinaturas; confirmar por tipo.</x:v>
      </x:c>
      <x:c r="I268" s="8" t="str">
        <x:v>Cabeçalho extraído; estrutura preservada no PDF</x:v>
      </x:c>
    </x:row>
    <x:row r="269" ht="84" customHeight="1">
      <x:c r="A269" s="8" t="str">
        <x:v>ED-0092</x:v>
      </x:c>
      <x:c r="B269" s="8" t="str">
        <x:v>DOC-0102</x:v>
      </x:c>
      <x:c r="C269" s="8" t="str">
        <x:v>Alta Floresta</x:v>
      </x:c>
      <x:c r="D269" s="8" t="str">
        <x:v>I</x:v>
      </x:c>
      <x:c r="E269" s="8" t="str">
        <x:v>PROJETOS DE VENDAS PARA OS FORNECEDORES INDIVIDUAIS PROJETO DE VENDA DE GÊNEROS ALIMENTÍCIOS DA AGRICULTURA FAMILIAR PARA ALIMENTAÇÃO ESCOLAR / PNAE IDENTIFICAÇÃO DA PROPOSTA DE ATENDIMENTO AO EDITAL DA CHAMADA PÚBLICA Nº 013/2024 (ano letivo 2025)</x:v>
      </x:c>
      <x:c r="F269" s="8" t="n">
        <x:v>14</x:v>
      </x:c>
      <x:c r="G269" s="8" t="str">
        <x:v>PNAE_MT_2025/01_ALTA_FLORESTA/DOC-0102_EDITAL-CHAMADA-PUBLICA-2025-Nova-Monte-Verde.pdf</x:v>
      </x:c>
      <x:c r="H269" s="8" t="str">
        <x:v>Identificadores, instituições, produtos/quantidades, datas e assinaturas; confirmar por tipo.</x:v>
      </x:c>
      <x:c r="I269" s="8" t="str">
        <x:v>Cabeçalho extraído; estrutura preservada no PDF</x:v>
      </x:c>
    </x:row>
    <x:row r="270" ht="84" customHeight="1">
      <x:c r="A270" s="8" t="str">
        <x:v>ED-0092</x:v>
      </x:c>
      <x:c r="B270" s="8" t="str">
        <x:v>DOC-0102</x:v>
      </x:c>
      <x:c r="C270" s="8" t="str">
        <x:v>Alta Floresta</x:v>
      </x:c>
      <x:c r="D270" s="8" t="str">
        <x:v>II</x:v>
      </x:c>
      <x:c r="E270" s="8" t="str">
        <x:v>PROJETO DE VENDAS PARA OS GRUPOS INFORMAIS PROJETO DE VENDA DE GÊNEROS ALIMENTÍCIOS DA AGRICULTURA FAMILIAR PARA ALIMENTAÇÃO ESCOLAR / PNAE IDENTIFICAÇÃO DA PROPOSTA DE ATENDIMENTO AO EDITAL DA CHAMADA PÚBLICA Nº 013/2024 (ano letivo 2025)</x:v>
      </x:c>
      <x:c r="F270" s="8" t="n">
        <x:v>16</x:v>
      </x:c>
      <x:c r="G270" s="8" t="str">
        <x:v>PNAE_MT_2025/01_ALTA_FLORESTA/DOC-0102_EDITAL-CHAMADA-PUBLICA-2025-Nova-Monte-Verde.pdf</x:v>
      </x:c>
      <x:c r="H270" s="8" t="str">
        <x:v>Identificadores, instituições, produtos/quantidades, datas e assinaturas; confirmar por tipo.</x:v>
      </x:c>
      <x:c r="I270" s="8" t="str">
        <x:v>Cabeçalho extraído; estrutura preservada no PDF</x:v>
      </x:c>
    </x:row>
    <x:row r="271" ht="84" customHeight="1">
      <x:c r="A271" s="8" t="str">
        <x:v>ED-0092</x:v>
      </x:c>
      <x:c r="B271" s="8" t="str">
        <x:v>DOC-0102</x:v>
      </x:c>
      <x:c r="C271" s="8" t="str">
        <x:v>Alta Floresta</x:v>
      </x:c>
      <x:c r="D271" s="8" t="str">
        <x:v>III</x:v>
      </x:c>
      <x:c r="E271" s="8" t="str">
        <x:v>PROJETO DE VENDAS PARA OS GRUPOS FORMAIS PROJETO DE VENDA DE GÊNEROS ALIMENTÍCIOS DA AGRICULTURA FAMILIAR PARA ALIMENTAÇÃO ESCOLAR/PNAE IDENTIFICAÇÃO DA PROPOSTA DE ATENDIMENTO AO EDITAL DA CHAMADA PÚBLICA Nº 013/2024 (ano letivo 2025)</x:v>
      </x:c>
      <x:c r="F271" s="8" t="n">
        <x:v>18</x:v>
      </x:c>
      <x:c r="G271" s="8" t="str">
        <x:v>PNAE_MT_2025/01_ALTA_FLORESTA/DOC-0102_EDITAL-CHAMADA-PUBLICA-2025-Nova-Monte-Verde.pdf</x:v>
      </x:c>
      <x:c r="H271" s="8" t="str">
        <x:v>Identificadores, instituições, produtos/quantidades, datas e assinaturas; confirmar por tipo.</x:v>
      </x:c>
      <x:c r="I271" s="8" t="str">
        <x:v>Cabeçalho extraído; estrutura preservada no PDF</x:v>
      </x:c>
    </x:row>
    <x:row r="272" ht="84" customHeight="1">
      <x:c r="A272" s="8" t="str">
        <x:v>ED-0092</x:v>
      </x:c>
      <x:c r="B272" s="8" t="str">
        <x:v>DOC-0102</x:v>
      </x:c>
      <x:c r="C272" s="8" t="str">
        <x:v>Alta Floresta</x:v>
      </x:c>
      <x:c r="D272" s="8" t="str">
        <x:v>IV</x:v>
      </x:c>
      <x:c r="E272" s="8" t="str">
        <x:v>RELAÇÃO DAS UNIDADES ESCOLARES CONTEMPLADAS</x:v>
      </x:c>
      <x:c r="F272" s="8" t="n">
        <x:v>20</x:v>
      </x:c>
      <x:c r="G272" s="8" t="str">
        <x:v>PNAE_MT_2025/01_ALTA_FLORESTA/DOC-0102_EDITAL-CHAMADA-PUBLICA-2025-Nova-Monte-Verde.pdf</x:v>
      </x:c>
      <x:c r="H272" s="8" t="str">
        <x:v>Identificadores, instituições, produtos/quantidades, datas e assinaturas; confirmar por tipo.</x:v>
      </x:c>
      <x:c r="I272" s="8" t="str">
        <x:v>Cabeçalho extraído; estrutura preservada no PDF</x:v>
      </x:c>
    </x:row>
    <x:row r="273" ht="84" customHeight="1">
      <x:c r="A273" s="8" t="str">
        <x:v>ED-0092</x:v>
      </x:c>
      <x:c r="B273" s="8" t="str">
        <x:v>DOC-0102</x:v>
      </x:c>
      <x:c r="C273" s="8" t="str">
        <x:v>Alta Floresta</x:v>
      </x:c>
      <x:c r="D273" s="8" t="str">
        <x:v>V</x:v>
      </x:c>
      <x:c r="E273" s="8" t="str">
        <x:v>RESULTADO DA CHAMADA PÚBLICA</x:v>
      </x:c>
      <x:c r="F273" s="8" t="n">
        <x:v>21</x:v>
      </x:c>
      <x:c r="G273" s="8" t="str">
        <x:v>PNAE_MT_2025/01_ALTA_FLORESTA/DOC-0102_EDITAL-CHAMADA-PUBLICA-2025-Nova-Monte-Verde.pdf</x:v>
      </x:c>
      <x:c r="H273" s="8" t="str">
        <x:v>Identificadores, instituições, produtos/quantidades, datas e assinaturas; confirmar por tipo.</x:v>
      </x:c>
      <x:c r="I273" s="8" t="str">
        <x:v>Cabeçalho extraído; estrutura preservada no PDF</x:v>
      </x:c>
    </x:row>
    <x:row r="274" ht="84" customHeight="1">
      <x:c r="A274" s="8" t="str">
        <x:v>ED-0092</x:v>
      </x:c>
      <x:c r="B274" s="8" t="str">
        <x:v>DOC-0102</x:v>
      </x:c>
      <x:c r="C274" s="8" t="str">
        <x:v>Alta Floresta</x:v>
      </x:c>
      <x:c r="D274" s="8" t="str">
        <x:v>VI</x:v>
      </x:c>
      <x:c r="E274" s="8" t="str">
        <x:v>MINUTA TERMO DE CONTRATO Nº 0XX/202X/SEDUC/MT</x:v>
      </x:c>
      <x:c r="F274" s="8" t="n">
        <x:v>22</x:v>
      </x:c>
      <x:c r="G274" s="8" t="str">
        <x:v>PNAE_MT_2025/01_ALTA_FLORESTA/DOC-0102_EDITAL-CHAMADA-PUBLICA-2025-Nova-Monte-Verde.pdf</x:v>
      </x:c>
      <x:c r="H274" s="8" t="str">
        <x:v>Identificadores, instituições, produtos/quantidades, datas e assinaturas; confirmar por tipo.</x:v>
      </x:c>
      <x:c r="I274" s="8" t="str">
        <x:v>Cabeçalho extraído; estrutura preservada no PDF</x:v>
      </x:c>
    </x:row>
    <x:row r="275" ht="84" customHeight="1">
      <x:c r="A275" s="8" t="str">
        <x:v>ED-0093</x:v>
      </x:c>
      <x:c r="B275" s="8" t="str">
        <x:v>DOC-0103</x:v>
      </x:c>
      <x:c r="C275" s="8" t="str">
        <x:v>Alta Floresta</x:v>
      </x:c>
      <x:c r="D275" s="8" t="str">
        <x:v>I</x:v>
      </x:c>
      <x:c r="E275" s="8" t="str">
        <x:v>PROJETOS DE VENDAS PARA OS FORNECEDORES INDIVIDUAIS PROJETO DE VENDA DE GÊNEROS ALIMENTÍCIOS DA AGRICULTURA FAMILIAR PARA ALIMENTAÇÃO ESCOLAR / PNAE IDENTIFICAÇÃO DA PROPOSTA DE ATENDIMENTO AO EDITAL DA CHAMADA PÚBLICA Nº 014/2024 (ano letivo 2025)</x:v>
      </x:c>
      <x:c r="F275" s="8" t="n">
        <x:v>14</x:v>
      </x:c>
      <x:c r="G275" s="8" t="str">
        <x:v>PNAE_MT_2025/01_ALTA_FLORESTA/DOC-0103_EDITAL-CHAMADA-PUBLICA-N.-BANDEIRANTES-014-24-ano-letivo-2025.pdf</x:v>
      </x:c>
      <x:c r="H275" s="8" t="str">
        <x:v>Identificadores, instituições, produtos/quantidades, datas e assinaturas; confirmar por tipo.</x:v>
      </x:c>
      <x:c r="I275" s="8" t="str">
        <x:v>Cabeçalho extraído; estrutura preservada no PDF</x:v>
      </x:c>
    </x:row>
    <x:row r="276" ht="84" customHeight="1">
      <x:c r="A276" s="8" t="str">
        <x:v>ED-0093</x:v>
      </x:c>
      <x:c r="B276" s="8" t="str">
        <x:v>DOC-0103</x:v>
      </x:c>
      <x:c r="C276" s="8" t="str">
        <x:v>Alta Floresta</x:v>
      </x:c>
      <x:c r="D276" s="8" t="str">
        <x:v>II</x:v>
      </x:c>
      <x:c r="E276" s="8" t="str">
        <x:v>PROJETO DE VENDAS PARA OS GRUPOS INFORMAIS PROJETO DE VENDA DE GÊNEROS ALIMENTÍCIOS DA AGRICULTURA FAMILIAR PARA ALIMENTAÇÃO ESCOLAR / PNAE IDENTIFICAÇÃO DA PROPOSTA DE ATENDIMENTO AO EDITAL DA CHAMADA PÚBLICA Nº 014/2024 (ano letivo 2025)</x:v>
      </x:c>
      <x:c r="F276" s="8" t="n">
        <x:v>16</x:v>
      </x:c>
      <x:c r="G276" s="8" t="str">
        <x:v>PNAE_MT_2025/01_ALTA_FLORESTA/DOC-0103_EDITAL-CHAMADA-PUBLICA-N.-BANDEIRANTES-014-24-ano-letivo-2025.pdf</x:v>
      </x:c>
      <x:c r="H276" s="8" t="str">
        <x:v>Identificadores, instituições, produtos/quantidades, datas e assinaturas; confirmar por tipo.</x:v>
      </x:c>
      <x:c r="I276" s="8" t="str">
        <x:v>Cabeçalho extraído; estrutura preservada no PDF</x:v>
      </x:c>
    </x:row>
    <x:row r="277" ht="84" customHeight="1">
      <x:c r="A277" s="8" t="str">
        <x:v>ED-0093</x:v>
      </x:c>
      <x:c r="B277" s="8" t="str">
        <x:v>DOC-0103</x:v>
      </x:c>
      <x:c r="C277" s="8" t="str">
        <x:v>Alta Floresta</x:v>
      </x:c>
      <x:c r="D277" s="8" t="str">
        <x:v>III</x:v>
      </x:c>
      <x:c r="E277" s="8" t="str">
        <x:v>PROJETO DE VENDAS PARA OS GRUPOS FORMAIS PROJETO DE VENDA DE GÊNEROS ALIMENTÍCIOS DA AGRICULTURA FAMILIAR PARA ALIMENTAÇÃO ESCOLAR/PNAE IDENTIFICAÇÃO DA PROPOSTA DE ATENDIMENTO AO EDITAL DA CHAMADA PÚBLICA Nº 014/2024 (ano letivo 2025)</x:v>
      </x:c>
      <x:c r="F277" s="8" t="n">
        <x:v>18</x:v>
      </x:c>
      <x:c r="G277" s="8" t="str">
        <x:v>PNAE_MT_2025/01_ALTA_FLORESTA/DOC-0103_EDITAL-CHAMADA-PUBLICA-N.-BANDEIRANTES-014-24-ano-letivo-2025.pdf</x:v>
      </x:c>
      <x:c r="H277" s="8" t="str">
        <x:v>Identificadores, instituições, produtos/quantidades, datas e assinaturas; confirmar por tipo.</x:v>
      </x:c>
      <x:c r="I277" s="8" t="str">
        <x:v>Cabeçalho extraído; estrutura preservada no PDF</x:v>
      </x:c>
    </x:row>
    <x:row r="278" ht="84" customHeight="1">
      <x:c r="A278" s="8" t="str">
        <x:v>ED-0093</x:v>
      </x:c>
      <x:c r="B278" s="8" t="str">
        <x:v>DOC-0103</x:v>
      </x:c>
      <x:c r="C278" s="8" t="str">
        <x:v>Alta Floresta</x:v>
      </x:c>
      <x:c r="D278" s="8" t="str">
        <x:v>IV</x:v>
      </x:c>
      <x:c r="E278" s="8" t="str">
        <x:v>RELAÇÃO DAS UNIDADES ESCOLARES CONTEMPLADAS</x:v>
      </x:c>
      <x:c r="F278" s="8" t="n">
        <x:v>20</x:v>
      </x:c>
      <x:c r="G278" s="8" t="str">
        <x:v>PNAE_MT_2025/01_ALTA_FLORESTA/DOC-0103_EDITAL-CHAMADA-PUBLICA-N.-BANDEIRANTES-014-24-ano-letivo-2025.pdf</x:v>
      </x:c>
      <x:c r="H278" s="8" t="str">
        <x:v>Identificadores, instituições, produtos/quantidades, datas e assinaturas; confirmar por tipo.</x:v>
      </x:c>
      <x:c r="I278" s="8" t="str">
        <x:v>Cabeçalho extraído; estrutura preservada no PDF</x:v>
      </x:c>
    </x:row>
    <x:row r="279" ht="84" customHeight="1">
      <x:c r="A279" s="8" t="str">
        <x:v>ED-0093</x:v>
      </x:c>
      <x:c r="B279" s="8" t="str">
        <x:v>DOC-0103</x:v>
      </x:c>
      <x:c r="C279" s="8" t="str">
        <x:v>Alta Floresta</x:v>
      </x:c>
      <x:c r="D279" s="8" t="str">
        <x:v>V</x:v>
      </x:c>
      <x:c r="E279" s="8" t="str">
        <x:v>RESULTADO DA CHAMADA PÚBLICA</x:v>
      </x:c>
      <x:c r="F279" s="8" t="n">
        <x:v>21</x:v>
      </x:c>
      <x:c r="G279" s="8" t="str">
        <x:v>PNAE_MT_2025/01_ALTA_FLORESTA/DOC-0103_EDITAL-CHAMADA-PUBLICA-N.-BANDEIRANTES-014-24-ano-letivo-2025.pdf</x:v>
      </x:c>
      <x:c r="H279" s="8" t="str">
        <x:v>Identificadores, instituições, produtos/quantidades, datas e assinaturas; confirmar por tipo.</x:v>
      </x:c>
      <x:c r="I279" s="8" t="str">
        <x:v>Cabeçalho extraído; estrutura preservada no PDF</x:v>
      </x:c>
    </x:row>
    <x:row r="280" ht="84" customHeight="1">
      <x:c r="A280" s="8" t="str">
        <x:v>ED-0093</x:v>
      </x:c>
      <x:c r="B280" s="8" t="str">
        <x:v>DOC-0103</x:v>
      </x:c>
      <x:c r="C280" s="8" t="str">
        <x:v>Alta Floresta</x:v>
      </x:c>
      <x:c r="D280" s="8" t="str">
        <x:v>VI</x:v>
      </x:c>
      <x:c r="E280" s="8" t="str">
        <x:v>MINUTA TERMO DE CONTRATO Nº 0XX/202X/SEDUC/MT</x:v>
      </x:c>
      <x:c r="F280" s="8" t="n">
        <x:v>22</x:v>
      </x:c>
      <x:c r="G280" s="8" t="str">
        <x:v>PNAE_MT_2025/01_ALTA_FLORESTA/DOC-0103_EDITAL-CHAMADA-PUBLICA-N.-BANDEIRANTES-014-24-ano-letivo-2025.pdf</x:v>
      </x:c>
      <x:c r="H280" s="8" t="str">
        <x:v>Identificadores, instituições, produtos/quantidades, datas e assinaturas; confirmar por tipo.</x:v>
      </x:c>
      <x:c r="I280" s="8" t="str">
        <x:v>Cabeçalho extraído; estrutura preservada no PDF</x:v>
      </x:c>
    </x:row>
    <x:row r="281" ht="84" customHeight="1">
      <x:c r="A281" s="8" t="str">
        <x:v>ED-0094</x:v>
      </x:c>
      <x:c r="B281" s="8" t="str">
        <x:v>DOC-0104</x:v>
      </x:c>
      <x:c r="C281" s="8" t="str">
        <x:v>Alta Floresta</x:v>
      </x:c>
      <x:c r="D281" s="8" t="str">
        <x:v>I</x:v>
      </x:c>
      <x:c r="E281" s="8" t="str">
        <x:v>PROJETOS DE VENDAS PARA OS FORNECEDORES INDIVIDUAIS PROJETO DE VENDA DE GÊNEROS ALIMENTÍCIOS DA AGRICULTURA FAMILIAR PARA ALIMENTAÇÃO ESCOLAR / PNAE IDENTIFICAÇÃO DA PROPOSTA DE ATENDIMENTO AO EDITAL DA CHAMADA PÚBLICA Nº 012/2024 (ano letivo 2025)</x:v>
      </x:c>
      <x:c r="F281" s="8" t="n">
        <x:v>14</x:v>
      </x:c>
      <x:c r="G281" s="8" t="str">
        <x:v>PNAE_MT_2025/01_ALTA_FLORESTA/DOC-0104_EDITAL-CHAMADA-PUBLICA-012-24-APIACAS-ano-letivo-2025-1.pdf</x:v>
      </x:c>
      <x:c r="H281" s="8" t="str">
        <x:v>Identificadores, instituições, produtos/quantidades, datas e assinaturas; confirmar por tipo.</x:v>
      </x:c>
      <x:c r="I281" s="8" t="str">
        <x:v>Cabeçalho extraído; estrutura preservada no PDF</x:v>
      </x:c>
    </x:row>
    <x:row r="282" ht="84" customHeight="1">
      <x:c r="A282" s="8" t="str">
        <x:v>ED-0094</x:v>
      </x:c>
      <x:c r="B282" s="8" t="str">
        <x:v>DOC-0104</x:v>
      </x:c>
      <x:c r="C282" s="8" t="str">
        <x:v>Alta Floresta</x:v>
      </x:c>
      <x:c r="D282" s="8" t="str">
        <x:v>II</x:v>
      </x:c>
      <x:c r="E282" s="8" t="str">
        <x:v>PROJETO DE VENDAS PARA OS GRUPOS INFORMAIS PROJETO DE VENDA DE GÊNEROS ALIMENTÍCIOS DA AGRICULTURA FAMILIAR PARA ALIMENTAÇÃO ESCOLAR / PNAE IDENTIFICAÇÃO DA PROPOSTA DE ATENDIMENTO AO EDITAL DA CHAMADA PÚBLICA Nº 012/2024 (ano letivo 2025)</x:v>
      </x:c>
      <x:c r="F282" s="8" t="n">
        <x:v>16</x:v>
      </x:c>
      <x:c r="G282" s="8" t="str">
        <x:v>PNAE_MT_2025/01_ALTA_FLORESTA/DOC-0104_EDITAL-CHAMADA-PUBLICA-012-24-APIACAS-ano-letivo-2025-1.pdf</x:v>
      </x:c>
      <x:c r="H282" s="8" t="str">
        <x:v>Identificadores, instituições, produtos/quantidades, datas e assinaturas; confirmar por tipo.</x:v>
      </x:c>
      <x:c r="I282" s="8" t="str">
        <x:v>Cabeçalho extraído; estrutura preservada no PDF</x:v>
      </x:c>
    </x:row>
    <x:row r="283" ht="84" customHeight="1">
      <x:c r="A283" s="8" t="str">
        <x:v>ED-0094</x:v>
      </x:c>
      <x:c r="B283" s="8" t="str">
        <x:v>DOC-0104</x:v>
      </x:c>
      <x:c r="C283" s="8" t="str">
        <x:v>Alta Floresta</x:v>
      </x:c>
      <x:c r="D283" s="8" t="str">
        <x:v>III</x:v>
      </x:c>
      <x:c r="E283" s="8" t="str">
        <x:v>PROJETO DE VENDAS PARA OS GRUPOS FORMAIS PROJETO DE VENDA DE GÊNEROS ALIMENTÍCIOS DA AGRICULTURA FAMILIAR PARA ALIMENTAÇÃO ESCOLAR/PNAE IDENTIFICAÇÃO DA PROPOSTA DE ATENDIMENTO AO EDITAL DA CHAMADA PÚBLICA Nº 008/2024 (ano letivo 2025)</x:v>
      </x:c>
      <x:c r="F283" s="8" t="n">
        <x:v>18</x:v>
      </x:c>
      <x:c r="G283" s="8" t="str">
        <x:v>PNAE_MT_2025/01_ALTA_FLORESTA/DOC-0104_EDITAL-CHAMADA-PUBLICA-012-24-APIACAS-ano-letivo-2025-1.pdf</x:v>
      </x:c>
      <x:c r="H283" s="8" t="str">
        <x:v>Identificadores, instituições, produtos/quantidades, datas e assinaturas; confirmar por tipo.</x:v>
      </x:c>
      <x:c r="I283" s="8" t="str">
        <x:v>Cabeçalho extraído; estrutura preservada no PDF</x:v>
      </x:c>
    </x:row>
    <x:row r="284" ht="84" customHeight="1">
      <x:c r="A284" s="8" t="str">
        <x:v>ED-0094</x:v>
      </x:c>
      <x:c r="B284" s="8" t="str">
        <x:v>DOC-0104</x:v>
      </x:c>
      <x:c r="C284" s="8" t="str">
        <x:v>Alta Floresta</x:v>
      </x:c>
      <x:c r="D284" s="8" t="str">
        <x:v>IV</x:v>
      </x:c>
      <x:c r="E284" s="8" t="str">
        <x:v>RELAÇÃO DAS UNIDADES ESCOLARES CONTEMPLADAS</x:v>
      </x:c>
      <x:c r="F284" s="8" t="n">
        <x:v>20</x:v>
      </x:c>
      <x:c r="G284" s="8" t="str">
        <x:v>PNAE_MT_2025/01_ALTA_FLORESTA/DOC-0104_EDITAL-CHAMADA-PUBLICA-012-24-APIACAS-ano-letivo-2025-1.pdf</x:v>
      </x:c>
      <x:c r="H284" s="8" t="str">
        <x:v>Identificadores, instituições, produtos/quantidades, datas e assinaturas; confirmar por tipo.</x:v>
      </x:c>
      <x:c r="I284" s="8" t="str">
        <x:v>Cabeçalho extraído; estrutura preservada no PDF</x:v>
      </x:c>
    </x:row>
    <x:row r="285" ht="84" customHeight="1">
      <x:c r="A285" s="8" t="str">
        <x:v>ED-0094</x:v>
      </x:c>
      <x:c r="B285" s="8" t="str">
        <x:v>DOC-0104</x:v>
      </x:c>
      <x:c r="C285" s="8" t="str">
        <x:v>Alta Floresta</x:v>
      </x:c>
      <x:c r="D285" s="8" t="str">
        <x:v>V</x:v>
      </x:c>
      <x:c r="E285" s="8" t="str">
        <x:v>RESULTADO DA CHAMADA PÚBLICA</x:v>
      </x:c>
      <x:c r="F285" s="8" t="n">
        <x:v>21</x:v>
      </x:c>
      <x:c r="G285" s="8" t="str">
        <x:v>PNAE_MT_2025/01_ALTA_FLORESTA/DOC-0104_EDITAL-CHAMADA-PUBLICA-012-24-APIACAS-ano-letivo-2025-1.pdf</x:v>
      </x:c>
      <x:c r="H285" s="8" t="str">
        <x:v>Identificadores, instituições, produtos/quantidades, datas e assinaturas; confirmar por tipo.</x:v>
      </x:c>
      <x:c r="I285" s="8" t="str">
        <x:v>Cabeçalho extraído; estrutura preservada no PDF</x:v>
      </x:c>
    </x:row>
    <x:row r="286" ht="84" customHeight="1">
      <x:c r="A286" s="8" t="str">
        <x:v>ED-0094</x:v>
      </x:c>
      <x:c r="B286" s="8" t="str">
        <x:v>DOC-0104</x:v>
      </x:c>
      <x:c r="C286" s="8" t="str">
        <x:v>Alta Floresta</x:v>
      </x:c>
      <x:c r="D286" s="8" t="str">
        <x:v>VI</x:v>
      </x:c>
      <x:c r="E286" s="8" t="str">
        <x:v>MINUTA TERMO DE CONTRATO Nº 0XX/202X/SEDUC/MT</x:v>
      </x:c>
      <x:c r="F286" s="8" t="n">
        <x:v>22</x:v>
      </x:c>
      <x:c r="G286" s="8" t="str">
        <x:v>PNAE_MT_2025/01_ALTA_FLORESTA/DOC-0104_EDITAL-CHAMADA-PUBLICA-012-24-APIACAS-ano-letivo-2025-1.pdf</x:v>
      </x:c>
      <x:c r="H286" s="8" t="str">
        <x:v>Identificadores, instituições, produtos/quantidades, datas e assinaturas; confirmar por tipo.</x:v>
      </x:c>
      <x:c r="I286" s="8" t="str">
        <x:v>Cabeçalho extraído; estrutura preservada no PDF</x:v>
      </x:c>
    </x:row>
    <x:row r="287" ht="84" customHeight="1">
      <x:c r="A287" s="8" t="str">
        <x:v>ED-0095</x:v>
      </x:c>
      <x:c r="B287" s="8" t="str">
        <x:v>DOC-0105</x:v>
      </x:c>
      <x:c r="C287" s="8" t="str">
        <x:v>Alta Floresta</x:v>
      </x:c>
      <x:c r="D287" s="8" t="str">
        <x:v>I</x:v>
      </x:c>
      <x:c r="E287" s="8" t="str">
        <x:v>PROJETOS DE VENDAS PARA OS FORNECEDORES INDIVIDUAIS PROJETO DE VENDA DE GÊNEROS ALIMENTÍCIOS DA AGRICULTURA FAMILIAR PARA ALIMENTAÇÃO ESCOLAR / PNAE IDENTIFICAÇÃO DA PROPOSTA DE ATENDIMENTO AO EDITAL DA CHAMADA PÚBLICA Nº 010/2024 (ano letivo 2025)</x:v>
      </x:c>
      <x:c r="F287" s="8" t="n">
        <x:v>14</x:v>
      </x:c>
      <x:c r="G287" s="8" t="str">
        <x:v>PNAE_MT_2025/01_ALTA_FLORESTA/DOC-0105_EDITAL-CHAMADA-PUBLICA-NCN-010-24-ano-letivo-2025.pdf</x:v>
      </x:c>
      <x:c r="H287" s="8" t="str">
        <x:v>Identificadores, instituições, produtos/quantidades, datas e assinaturas; confirmar por tipo.</x:v>
      </x:c>
      <x:c r="I287" s="8" t="str">
        <x:v>Cabeçalho extraído; estrutura preservada no PDF</x:v>
      </x:c>
    </x:row>
    <x:row r="288" ht="84" customHeight="1">
      <x:c r="A288" s="8" t="str">
        <x:v>ED-0095</x:v>
      </x:c>
      <x:c r="B288" s="8" t="str">
        <x:v>DOC-0105</x:v>
      </x:c>
      <x:c r="C288" s="8" t="str">
        <x:v>Alta Floresta</x:v>
      </x:c>
      <x:c r="D288" s="8" t="str">
        <x:v>II</x:v>
      </x:c>
      <x:c r="E288" s="8" t="str">
        <x:v>PROJETO DE VENDAS PARA OS GRUPOS INFORMAIS PROJETO DE VENDA DE GÊNEROS ALIMENTÍCIOS DA AGRICULTURA FAMILIAR PARA ALIMENTAÇÃO ESCOLAR / PNAE IDENTIFICAÇÃO DA PROPOSTA DE ATENDIMENTO AO EDITAL DA CHAMADA PÚBLICA Nº 010/2024 (ano letivo 2025)</x:v>
      </x:c>
      <x:c r="F288" s="8" t="n">
        <x:v>16</x:v>
      </x:c>
      <x:c r="G288" s="8" t="str">
        <x:v>PNAE_MT_2025/01_ALTA_FLORESTA/DOC-0105_EDITAL-CHAMADA-PUBLICA-NCN-010-24-ano-letivo-2025.pdf</x:v>
      </x:c>
      <x:c r="H288" s="8" t="str">
        <x:v>Identificadores, instituições, produtos/quantidades, datas e assinaturas; confirmar por tipo.</x:v>
      </x:c>
      <x:c r="I288" s="8" t="str">
        <x:v>Cabeçalho extraído; estrutura preservada no PDF</x:v>
      </x:c>
    </x:row>
    <x:row r="289" ht="84" customHeight="1">
      <x:c r="A289" s="8" t="str">
        <x:v>ED-0095</x:v>
      </x:c>
      <x:c r="B289" s="8" t="str">
        <x:v>DOC-0105</x:v>
      </x:c>
      <x:c r="C289" s="8" t="str">
        <x:v>Alta Floresta</x:v>
      </x:c>
      <x:c r="D289" s="8" t="str">
        <x:v>III</x:v>
      </x:c>
      <x:c r="E289" s="8" t="str">
        <x:v>PROJETO DE VENDAS PARA OS GRUPOS FORMAIS PROJETO DE VENDA DE GÊNEROS ALIMENTÍCIOS DA AGRICULTURA FAMILIAR PARA ALIMENTAÇÃO ESCOLAR/PNAE IDENTIFICAÇÃO DA PROPOSTA DE ATENDIMENTO AO EDITAL DA CHAMADA PÚBLICA Nº 010/2024 (ano letivo 2025)</x:v>
      </x:c>
      <x:c r="F289" s="8" t="n">
        <x:v>18</x:v>
      </x:c>
      <x:c r="G289" s="8" t="str">
        <x:v>PNAE_MT_2025/01_ALTA_FLORESTA/DOC-0105_EDITAL-CHAMADA-PUBLICA-NCN-010-24-ano-letivo-2025.pdf</x:v>
      </x:c>
      <x:c r="H289" s="8" t="str">
        <x:v>Identificadores, instituições, produtos/quantidades, datas e assinaturas; confirmar por tipo.</x:v>
      </x:c>
      <x:c r="I289" s="8" t="str">
        <x:v>Cabeçalho extraído; estrutura preservada no PDF</x:v>
      </x:c>
    </x:row>
    <x:row r="290" ht="84" customHeight="1">
      <x:c r="A290" s="8" t="str">
        <x:v>ED-0095</x:v>
      </x:c>
      <x:c r="B290" s="8" t="str">
        <x:v>DOC-0105</x:v>
      </x:c>
      <x:c r="C290" s="8" t="str">
        <x:v>Alta Floresta</x:v>
      </x:c>
      <x:c r="D290" s="8" t="str">
        <x:v>IV</x:v>
      </x:c>
      <x:c r="E290" s="8" t="str">
        <x:v>RELAÇÃO DAS UNIDADES ESCOLARES CONTEMPLADAS</x:v>
      </x:c>
      <x:c r="F290" s="8" t="n">
        <x:v>20</x:v>
      </x:c>
      <x:c r="G290" s="8" t="str">
        <x:v>PNAE_MT_2025/01_ALTA_FLORESTA/DOC-0105_EDITAL-CHAMADA-PUBLICA-NCN-010-24-ano-letivo-2025.pdf</x:v>
      </x:c>
      <x:c r="H290" s="8" t="str">
        <x:v>Identificadores, instituições, produtos/quantidades, datas e assinaturas; confirmar por tipo.</x:v>
      </x:c>
      <x:c r="I290" s="8" t="str">
        <x:v>Cabeçalho extraído; estrutura preservada no PDF</x:v>
      </x:c>
    </x:row>
    <x:row r="291" ht="84" customHeight="1">
      <x:c r="A291" s="8" t="str">
        <x:v>ED-0095</x:v>
      </x:c>
      <x:c r="B291" s="8" t="str">
        <x:v>DOC-0105</x:v>
      </x:c>
      <x:c r="C291" s="8" t="str">
        <x:v>Alta Floresta</x:v>
      </x:c>
      <x:c r="D291" s="8" t="str">
        <x:v>V</x:v>
      </x:c>
      <x:c r="E291" s="8" t="str">
        <x:v>RESULTADO DA CHAMADA PÚBLICA</x:v>
      </x:c>
      <x:c r="F291" s="8" t="n">
        <x:v>21</x:v>
      </x:c>
      <x:c r="G291" s="8" t="str">
        <x:v>PNAE_MT_2025/01_ALTA_FLORESTA/DOC-0105_EDITAL-CHAMADA-PUBLICA-NCN-010-24-ano-letivo-2025.pdf</x:v>
      </x:c>
      <x:c r="H291" s="8" t="str">
        <x:v>Identificadores, instituições, produtos/quantidades, datas e assinaturas; confirmar por tipo.</x:v>
      </x:c>
      <x:c r="I291" s="8" t="str">
        <x:v>Cabeçalho extraído; estrutura preservada no PDF</x:v>
      </x:c>
    </x:row>
    <x:row r="292" ht="84" customHeight="1">
      <x:c r="A292" s="8" t="str">
        <x:v>ED-0095</x:v>
      </x:c>
      <x:c r="B292" s="8" t="str">
        <x:v>DOC-0105</x:v>
      </x:c>
      <x:c r="C292" s="8" t="str">
        <x:v>Alta Floresta</x:v>
      </x:c>
      <x:c r="D292" s="8" t="str">
        <x:v>VI</x:v>
      </x:c>
      <x:c r="E292" s="8" t="str">
        <x:v>MINUTA TERMO DE CONTRATO Nº 0XX/202X/SEDUC/MT</x:v>
      </x:c>
      <x:c r="F292" s="8" t="n">
        <x:v>22</x:v>
      </x:c>
      <x:c r="G292" s="8" t="str">
        <x:v>PNAE_MT_2025/01_ALTA_FLORESTA/DOC-0105_EDITAL-CHAMADA-PUBLICA-NCN-010-24-ano-letivo-2025.pdf</x:v>
      </x:c>
      <x:c r="H292" s="8" t="str">
        <x:v>Identificadores, instituições, produtos/quantidades, datas e assinaturas; confirmar por tipo.</x:v>
      </x:c>
      <x:c r="I292" s="8" t="str">
        <x:v>Cabeçalho extraído; estrutura preservada no PDF</x:v>
      </x:c>
    </x:row>
    <x:row r="293" ht="84" customHeight="1">
      <x:c r="A293" s="8" t="str">
        <x:v>ED-0096</x:v>
      </x:c>
      <x:c r="B293" s="8" t="str">
        <x:v>DOC-0106</x:v>
      </x:c>
      <x:c r="C293" s="8" t="str">
        <x:v>Alta Floresta</x:v>
      </x:c>
      <x:c r="D293" s="8" t="str">
        <x:v>I</x:v>
      </x:c>
      <x:c r="E293" s="8" t="str">
        <x:v>PROJETOS DE VENDAS PARA OS FORNECEDORES INDIVIDUAIS PROJETO DE VENDA DE GÊNEROS ALIMENTÍCIOS DA AGRICULTURA FAMILIAR PARA ALIMENTAÇÃO ESCOLAR / PNAE IDENTIFICAÇÃO DA PROPOSTA DE ATENDIMENTO AO EDITAL DA CHAMADA PÚBLICA Nº 009/2024 (ano letivo 2025)</x:v>
      </x:c>
      <x:c r="F293" s="8" t="n">
        <x:v>15</x:v>
      </x:c>
      <x:c r="G293" s="8" t="str">
        <x:v>PNAE_MT_2025/01_ALTA_FLORESTA/DOC-0106_EDITAL-CHAMADA-PUBLICA-No-009-24-CARLINDA-Ano-letivo-2025-1.pdf</x:v>
      </x:c>
      <x:c r="H293" s="8" t="str">
        <x:v>Identificadores, instituições, produtos/quantidades, datas e assinaturas; confirmar por tipo.</x:v>
      </x:c>
      <x:c r="I293" s="8" t="str">
        <x:v>Cabeçalho extraído; estrutura preservada no PDF</x:v>
      </x:c>
    </x:row>
    <x:row r="294" ht="84" customHeight="1">
      <x:c r="A294" s="8" t="str">
        <x:v>ED-0096</x:v>
      </x:c>
      <x:c r="B294" s="8" t="str">
        <x:v>DOC-0106</x:v>
      </x:c>
      <x:c r="C294" s="8" t="str">
        <x:v>Alta Floresta</x:v>
      </x:c>
      <x:c r="D294" s="8" t="str">
        <x:v>II</x:v>
      </x:c>
      <x:c r="E294" s="8" t="str">
        <x:v>PROJETO DE VENDAS PARA OS GRUPOS INFORMAIS PROJETO DE VENDA DE GÊNEROS ALIMENTÍCIOS DA AGRICULTURA FAMILIAR PARA ALIMENTAÇÃO ESCOLAR / PNAE IDENTIFICAÇÃO DA PROPOSTA DE ATENDIMENTO AO EDITAL DA CHAMADA PÚBLICA Nº 009/2024 (ano letivo 2025)</x:v>
      </x:c>
      <x:c r="F294" s="8" t="n">
        <x:v>17</x:v>
      </x:c>
      <x:c r="G294" s="8" t="str">
        <x:v>PNAE_MT_2025/01_ALTA_FLORESTA/DOC-0106_EDITAL-CHAMADA-PUBLICA-No-009-24-CARLINDA-Ano-letivo-2025-1.pdf</x:v>
      </x:c>
      <x:c r="H294" s="8" t="str">
        <x:v>Identificadores, instituições, produtos/quantidades, datas e assinaturas; confirmar por tipo.</x:v>
      </x:c>
      <x:c r="I294" s="8" t="str">
        <x:v>Cabeçalho extraído; estrutura preservada no PDF</x:v>
      </x:c>
    </x:row>
    <x:row r="295" ht="84" customHeight="1">
      <x:c r="A295" s="8" t="str">
        <x:v>ED-0096</x:v>
      </x:c>
      <x:c r="B295" s="8" t="str">
        <x:v>DOC-0106</x:v>
      </x:c>
      <x:c r="C295" s="8" t="str">
        <x:v>Alta Floresta</x:v>
      </x:c>
      <x:c r="D295" s="8" t="str">
        <x:v>III</x:v>
      </x:c>
      <x:c r="E295" s="8" t="str">
        <x:v>PROJETO DE VENDAS PARA OS GRUPOS FORMAIS PROJETO DE VENDA DE GÊNEROS ALIMENTÍCIOS DA AGRICULTURA FAMILIAR PARA ALIMENTAÇÃO ESCOLAR/PNAE IDENTIFICAÇÃO DA PROPOSTA DE ATENDIMENTO AO EDITAL DA CHAMADA PÚBLICA Nº 009/2024 (ano letivo 2025)</x:v>
      </x:c>
      <x:c r="F295" s="8" t="n">
        <x:v>19</x:v>
      </x:c>
      <x:c r="G295" s="8" t="str">
        <x:v>PNAE_MT_2025/01_ALTA_FLORESTA/DOC-0106_EDITAL-CHAMADA-PUBLICA-No-009-24-CARLINDA-Ano-letivo-2025-1.pdf</x:v>
      </x:c>
      <x:c r="H295" s="8" t="str">
        <x:v>Identificadores, instituições, produtos/quantidades, datas e assinaturas; confirmar por tipo.</x:v>
      </x:c>
      <x:c r="I295" s="8" t="str">
        <x:v>Cabeçalho extraído; estrutura preservada no PDF</x:v>
      </x:c>
    </x:row>
    <x:row r="296" ht="84" customHeight="1">
      <x:c r="A296" s="8" t="str">
        <x:v>ED-0096</x:v>
      </x:c>
      <x:c r="B296" s="8" t="str">
        <x:v>DOC-0106</x:v>
      </x:c>
      <x:c r="C296" s="8" t="str">
        <x:v>Alta Floresta</x:v>
      </x:c>
      <x:c r="D296" s="8" t="str">
        <x:v>IV</x:v>
      </x:c>
      <x:c r="E296" s="8" t="str">
        <x:v>RELAÇÃO DAS UNIDADES ESCOLARES CONTEMPLADAS</x:v>
      </x:c>
      <x:c r="F296" s="8" t="n">
        <x:v>21</x:v>
      </x:c>
      <x:c r="G296" s="8" t="str">
        <x:v>PNAE_MT_2025/01_ALTA_FLORESTA/DOC-0106_EDITAL-CHAMADA-PUBLICA-No-009-24-CARLINDA-Ano-letivo-2025-1.pdf</x:v>
      </x:c>
      <x:c r="H296" s="8" t="str">
        <x:v>Identificadores, instituições, produtos/quantidades, datas e assinaturas; confirmar por tipo.</x:v>
      </x:c>
      <x:c r="I296" s="8" t="str">
        <x:v>Cabeçalho extraído; estrutura preservada no PDF</x:v>
      </x:c>
    </x:row>
    <x:row r="297" ht="84" customHeight="1">
      <x:c r="A297" s="8" t="str">
        <x:v>ED-0096</x:v>
      </x:c>
      <x:c r="B297" s="8" t="str">
        <x:v>DOC-0106</x:v>
      </x:c>
      <x:c r="C297" s="8" t="str">
        <x:v>Alta Floresta</x:v>
      </x:c>
      <x:c r="D297" s="8" t="str">
        <x:v>V</x:v>
      </x:c>
      <x:c r="E297" s="8" t="str">
        <x:v>RESULTADO DA CHAMADA PÚBLICA</x:v>
      </x:c>
      <x:c r="F297" s="8" t="n">
        <x:v>22</x:v>
      </x:c>
      <x:c r="G297" s="8" t="str">
        <x:v>PNAE_MT_2025/01_ALTA_FLORESTA/DOC-0106_EDITAL-CHAMADA-PUBLICA-No-009-24-CARLINDA-Ano-letivo-2025-1.pdf</x:v>
      </x:c>
      <x:c r="H297" s="8" t="str">
        <x:v>Identificadores, instituições, produtos/quantidades, datas e assinaturas; confirmar por tipo.</x:v>
      </x:c>
      <x:c r="I297" s="8" t="str">
        <x:v>Cabeçalho extraído; estrutura preservada no PDF</x:v>
      </x:c>
    </x:row>
    <x:row r="298" ht="84" customHeight="1">
      <x:c r="A298" s="8" t="str">
        <x:v>ED-0096</x:v>
      </x:c>
      <x:c r="B298" s="8" t="str">
        <x:v>DOC-0106</x:v>
      </x:c>
      <x:c r="C298" s="8" t="str">
        <x:v>Alta Floresta</x:v>
      </x:c>
      <x:c r="D298" s="8" t="str">
        <x:v>VI</x:v>
      </x:c>
      <x:c r="E298" s="8" t="str">
        <x:v>MINUTA TERMO DE CONTRATO Nº 0XX/202X/SEDUC/MT</x:v>
      </x:c>
      <x:c r="F298" s="8" t="n">
        <x:v>23</x:v>
      </x:c>
      <x:c r="G298" s="8" t="str">
        <x:v>PNAE_MT_2025/01_ALTA_FLORESTA/DOC-0106_EDITAL-CHAMADA-PUBLICA-No-009-24-CARLINDA-Ano-letivo-2025-1.pdf</x:v>
      </x:c>
      <x:c r="H298" s="8" t="str">
        <x:v>Identificadores, instituições, produtos/quantidades, datas e assinaturas; confirmar por tipo.</x:v>
      </x:c>
      <x:c r="I298" s="8" t="str">
        <x:v>Cabeçalho extraído; estrutura preservada no PDF</x:v>
      </x:c>
    </x:row>
    <x:row r="299" ht="84" customHeight="1">
      <x:c r="A299" s="8" t="str">
        <x:v>ED-0097</x:v>
      </x:c>
      <x:c r="B299" s="8" t="str">
        <x:v>DOC-0107</x:v>
      </x:c>
      <x:c r="C299" s="8" t="str">
        <x:v>Alta Floresta</x:v>
      </x:c>
      <x:c r="D299" s="8" t="str">
        <x:v>I</x:v>
      </x:c>
      <x:c r="E299" s="8" t="str">
        <x:v>PROJETOS DE VENDAS PARA OS FORNECEDORES INDIVIDUAIS PROJETO DE VENDA DE GÊNEROS ALIMENTÍCIOS DA AGRICULTURA FAMILIAR PARA ALIMENTAÇÃO ESCOLAR / PNAE IDENTIFICAÇÃO DA PROPOSTA DE ATENDIMENTO AO EDITAL DA CHAMADA PÚBLICA Nº 011/2024 (ano letivo 2025)</x:v>
      </x:c>
      <x:c r="F299" s="8" t="n">
        <x:v>13</x:v>
      </x:c>
      <x:c r="G299" s="8" t="str">
        <x:v>PNAE_MT_2025/01_ALTA_FLORESTA/DOC-0107_EDITAL-CHAMADA-PUBLICA-011-24-PTA-ano-letivo-2025-1.pdf</x:v>
      </x:c>
      <x:c r="H299" s="8" t="str">
        <x:v>Identificadores, instituições, produtos/quantidades, datas e assinaturas; confirmar por tipo.</x:v>
      </x:c>
      <x:c r="I299" s="8" t="str">
        <x:v>Cabeçalho extraído; estrutura preservada no PDF</x:v>
      </x:c>
    </x:row>
    <x:row r="300" ht="84" customHeight="1">
      <x:c r="A300" s="8" t="str">
        <x:v>ED-0097</x:v>
      </x:c>
      <x:c r="B300" s="8" t="str">
        <x:v>DOC-0107</x:v>
      </x:c>
      <x:c r="C300" s="8" t="str">
        <x:v>Alta Floresta</x:v>
      </x:c>
      <x:c r="D300" s="8" t="str">
        <x:v>II</x:v>
      </x:c>
      <x:c r="E300" s="8" t="str">
        <x:v>PROJETO DE VENDAS PARA OS GRUPOS INFORMAIS PROJETO DE VENDA DE GÊNEROS ALIMENTÍCIOS DA AGRICULTURA FAMILIAR PARA ALIMENTAÇÃO ESCOLAR / PNAE IDENTIFICAÇÃO DA PROPOSTA DE ATENDIMENTO AO EDITAL DA CHAMADA PÚBLICA Nº 011/2024 (ano letivo 2025)</x:v>
      </x:c>
      <x:c r="F300" s="8" t="n">
        <x:v>15</x:v>
      </x:c>
      <x:c r="G300" s="8" t="str">
        <x:v>PNAE_MT_2025/01_ALTA_FLORESTA/DOC-0107_EDITAL-CHAMADA-PUBLICA-011-24-PTA-ano-letivo-2025-1.pdf</x:v>
      </x:c>
      <x:c r="H300" s="8" t="str">
        <x:v>Identificadores, instituições, produtos/quantidades, datas e assinaturas; confirmar por tipo.</x:v>
      </x:c>
      <x:c r="I300" s="8" t="str">
        <x:v>Cabeçalho extraído; estrutura preservada no PDF</x:v>
      </x:c>
    </x:row>
    <x:row r="301" ht="84" customHeight="1">
      <x:c r="A301" s="8" t="str">
        <x:v>ED-0097</x:v>
      </x:c>
      <x:c r="B301" s="8" t="str">
        <x:v>DOC-0107</x:v>
      </x:c>
      <x:c r="C301" s="8" t="str">
        <x:v>Alta Floresta</x:v>
      </x:c>
      <x:c r="D301" s="8" t="str">
        <x:v>III</x:v>
      </x:c>
      <x:c r="E301" s="8" t="str">
        <x:v>PROJETO DE VENDAS PARA OS GRUPOS FORMAIS PROJETO DE VENDA DE GÊNEROS ALIMENTÍCIOS DA AGRICULTURA FAMILIAR PARA ALIMENTAÇÃO ESCOLAR/PNAE IDENTIFICAÇÃO DA PROPOSTA DE ATENDIMENTO AO EDITAL DA CHAMADA PÚBLICA Nº 011/2024 (ano letivo 2025)</x:v>
      </x:c>
      <x:c r="F301" s="8" t="n">
        <x:v>18</x:v>
      </x:c>
      <x:c r="G301" s="8" t="str">
        <x:v>PNAE_MT_2025/01_ALTA_FLORESTA/DOC-0107_EDITAL-CHAMADA-PUBLICA-011-24-PTA-ano-letivo-2025-1.pdf</x:v>
      </x:c>
      <x:c r="H301" s="8" t="str">
        <x:v>Identificadores, instituições, produtos/quantidades, datas e assinaturas; confirmar por tipo.</x:v>
      </x:c>
      <x:c r="I301" s="8" t="str">
        <x:v>Cabeçalho extraído; estrutura preservada no PDF</x:v>
      </x:c>
    </x:row>
    <x:row r="302" ht="84" customHeight="1">
      <x:c r="A302" s="8" t="str">
        <x:v>ED-0097</x:v>
      </x:c>
      <x:c r="B302" s="8" t="str">
        <x:v>DOC-0107</x:v>
      </x:c>
      <x:c r="C302" s="8" t="str">
        <x:v>Alta Floresta</x:v>
      </x:c>
      <x:c r="D302" s="8" t="str">
        <x:v>IV</x:v>
      </x:c>
      <x:c r="E302" s="8" t="str">
        <x:v>RELAÇÃO DAS UNIDADES ESCOLARES CONTEMPLADAS Nº     Unidade Escolar/ Salas Anexas         CNPJ                                 Endereço                       Telefone</x:v>
      </x:c>
      <x:c r="F302" s="8" t="n">
        <x:v>21</x:v>
      </x:c>
      <x:c r="G302" s="8" t="str">
        <x:v>PNAE_MT_2025/01_ALTA_FLORESTA/DOC-0107_EDITAL-CHAMADA-PUBLICA-011-24-PTA-ano-letivo-2025-1.pdf</x:v>
      </x:c>
      <x:c r="H302" s="8" t="str">
        <x:v>Identificadores, instituições, produtos/quantidades, datas e assinaturas; confirmar por tipo.</x:v>
      </x:c>
      <x:c r="I302" s="8" t="str">
        <x:v>Cabeçalho extraído; estrutura preservada no PDF</x:v>
      </x:c>
    </x:row>
    <x:row r="303" ht="84" customHeight="1">
      <x:c r="A303" s="8" t="str">
        <x:v>ED-0097</x:v>
      </x:c>
      <x:c r="B303" s="8" t="str">
        <x:v>DOC-0107</x:v>
      </x:c>
      <x:c r="C303" s="8" t="str">
        <x:v>Alta Floresta</x:v>
      </x:c>
      <x:c r="D303" s="8" t="str">
        <x:v>V</x:v>
      </x:c>
      <x:c r="E303" s="8" t="str">
        <x:v>RESULTADO DA CHAMADA PÚBLICA</x:v>
      </x:c>
      <x:c r="F303" s="8" t="n">
        <x:v>22</x:v>
      </x:c>
      <x:c r="G303" s="8" t="str">
        <x:v>PNAE_MT_2025/01_ALTA_FLORESTA/DOC-0107_EDITAL-CHAMADA-PUBLICA-011-24-PTA-ano-letivo-2025-1.pdf</x:v>
      </x:c>
      <x:c r="H303" s="8" t="str">
        <x:v>Identificadores, instituições, produtos/quantidades, datas e assinaturas; confirmar por tipo.</x:v>
      </x:c>
      <x:c r="I303" s="8" t="str">
        <x:v>Cabeçalho extraído; estrutura preservada no PDF</x:v>
      </x:c>
    </x:row>
    <x:row r="304" ht="84" customHeight="1">
      <x:c r="A304" s="8" t="str">
        <x:v>ED-0097</x:v>
      </x:c>
      <x:c r="B304" s="8" t="str">
        <x:v>DOC-0107</x:v>
      </x:c>
      <x:c r="C304" s="8" t="str">
        <x:v>Alta Floresta</x:v>
      </x:c>
      <x:c r="D304" s="8" t="str">
        <x:v>VI</x:v>
      </x:c>
      <x:c r="E304" s="8" t="str">
        <x:v>MINUTA TERMO DE CONTRATO Nº 0XX/202X/SEDUC/MT</x:v>
      </x:c>
      <x:c r="F304" s="8" t="n">
        <x:v>23</x:v>
      </x:c>
      <x:c r="G304" s="8" t="str">
        <x:v>PNAE_MT_2025/01_ALTA_FLORESTA/DOC-0107_EDITAL-CHAMADA-PUBLICA-011-24-PTA-ano-letivo-2025-1.pdf</x:v>
      </x:c>
      <x:c r="H304" s="8" t="str">
        <x:v>Identificadores, instituições, produtos/quantidades, datas e assinaturas; confirmar por tipo.</x:v>
      </x:c>
      <x:c r="I304" s="8" t="str">
        <x:v>Cabeçalho extraído; estrutura preservada no PDF</x:v>
      </x:c>
    </x:row>
    <x:row r="305" ht="84" customHeight="1">
      <x:c r="A305" s="8" t="str">
        <x:v>ED-0098</x:v>
      </x:c>
      <x:c r="B305" s="8" t="str">
        <x:v>DOC-0108</x:v>
      </x:c>
      <x:c r="C305" s="8" t="str">
        <x:v>Alta Floresta</x:v>
      </x:c>
      <x:c r="D305" s="8" t="str">
        <x:v>I</x:v>
      </x:c>
      <x:c r="E305" s="8" t="str">
        <x:v>PROJETOS DE VENDAS PARA OS FORNECEDORES INDIVIDUAIS PROJETO DE VENDA DE GÊNEROS ALIMENTÍCIOS DA AGRICULTURA FAMILIAR PARA ALIMENTAÇÃO ESCOLAR / PNAE IDENTIFICAÇÃO DA PROPOSTA DE ATENDIMENTO AO EDITAL DA CHAMADA PÚBLICA Nº 008/2024 (ano letivo 2025)</x:v>
      </x:c>
      <x:c r="F305" s="8" t="n">
        <x:v>16</x:v>
      </x:c>
      <x:c r="G305" s="8" t="str">
        <x:v>PNAE_MT_2025/01_ALTA_FLORESTA/DOC-0108_EDITAL-CHAMADA-PUBLICA-008-24-AF-ano-letivo-2025.pdf</x:v>
      </x:c>
      <x:c r="H305" s="8" t="str">
        <x:v>Identificadores, instituições, produtos/quantidades, datas e assinaturas; confirmar por tipo.</x:v>
      </x:c>
      <x:c r="I305" s="8" t="str">
        <x:v>Cabeçalho extraído; estrutura preservada no PDF</x:v>
      </x:c>
    </x:row>
    <x:row r="306" ht="84" customHeight="1">
      <x:c r="A306" s="8" t="str">
        <x:v>ED-0098</x:v>
      </x:c>
      <x:c r="B306" s="8" t="str">
        <x:v>DOC-0108</x:v>
      </x:c>
      <x:c r="C306" s="8" t="str">
        <x:v>Alta Floresta</x:v>
      </x:c>
      <x:c r="D306" s="8" t="str">
        <x:v>II</x:v>
      </x:c>
      <x:c r="E306" s="8" t="str">
        <x:v>PROJETO DE VENDAS PARA OS GRUPOS INFORMAIS PROJETO DE VENDA DE GÊNEROS ALIMENTÍCIOS DA AGRICULTURA FAMILIAR PARA ALIMENTAÇÃO ESCOLAR / PNAE IDENTIFICAÇÃO DA PROPOSTA DE ATENDIMENTO AO EDITAL DA CHAMADA PÚBLICA Nº 008/2024 (ano letivo 2025)</x:v>
      </x:c>
      <x:c r="F306" s="8" t="n">
        <x:v>18</x:v>
      </x:c>
      <x:c r="G306" s="8" t="str">
        <x:v>PNAE_MT_2025/01_ALTA_FLORESTA/DOC-0108_EDITAL-CHAMADA-PUBLICA-008-24-AF-ano-letivo-2025.pdf</x:v>
      </x:c>
      <x:c r="H306" s="8" t="str">
        <x:v>Identificadores, instituições, produtos/quantidades, datas e assinaturas; confirmar por tipo.</x:v>
      </x:c>
      <x:c r="I306" s="8" t="str">
        <x:v>Cabeçalho extraído; estrutura preservada no PDF</x:v>
      </x:c>
    </x:row>
    <x:row r="307" ht="84" customHeight="1">
      <x:c r="A307" s="8" t="str">
        <x:v>ED-0098</x:v>
      </x:c>
      <x:c r="B307" s="8" t="str">
        <x:v>DOC-0108</x:v>
      </x:c>
      <x:c r="C307" s="8" t="str">
        <x:v>Alta Floresta</x:v>
      </x:c>
      <x:c r="D307" s="8" t="str">
        <x:v>III</x:v>
      </x:c>
      <x:c r="E307" s="8" t="str">
        <x:v>PROJETO DE VENDAS PARA OS GRUPOS FORMAIS PROJETO DE VENDA DE GÊNEROS ALIMENTÍCIOS DA AGRICULTURA FAMILIAR PARA ALIMENTAÇÃO ESCOLAR/PNAE IDENTIFICAÇÃO DA PROPOSTA DE ATENDIMENTO AO EDITAL DA CHAMADA PÚBLICA Nº 008/2024 (ano letivo 2025)</x:v>
      </x:c>
      <x:c r="F307" s="8" t="n">
        <x:v>21</x:v>
      </x:c>
      <x:c r="G307" s="8" t="str">
        <x:v>PNAE_MT_2025/01_ALTA_FLORESTA/DOC-0108_EDITAL-CHAMADA-PUBLICA-008-24-AF-ano-letivo-2025.pdf</x:v>
      </x:c>
      <x:c r="H307" s="8" t="str">
        <x:v>Identificadores, instituições, produtos/quantidades, datas e assinaturas; confirmar por tipo.</x:v>
      </x:c>
      <x:c r="I307" s="8" t="str">
        <x:v>Cabeçalho extraído; estrutura preservada no PDF</x:v>
      </x:c>
    </x:row>
    <x:row r="308" ht="84" customHeight="1">
      <x:c r="A308" s="8" t="str">
        <x:v>ED-0098</x:v>
      </x:c>
      <x:c r="B308" s="8" t="str">
        <x:v>DOC-0108</x:v>
      </x:c>
      <x:c r="C308" s="8" t="str">
        <x:v>Alta Floresta</x:v>
      </x:c>
      <x:c r="D308" s="8" t="str">
        <x:v>IV</x:v>
      </x:c>
      <x:c r="E308" s="8" t="str">
        <x:v>RELAÇÃO DAS UNIDADES ESCOLARES CONTEMPLADAS</x:v>
      </x:c>
      <x:c r="F308" s="8" t="n">
        <x:v>24</x:v>
      </x:c>
      <x:c r="G308" s="8" t="str">
        <x:v>PNAE_MT_2025/01_ALTA_FLORESTA/DOC-0108_EDITAL-CHAMADA-PUBLICA-008-24-AF-ano-letivo-2025.pdf</x:v>
      </x:c>
      <x:c r="H308" s="8" t="str">
        <x:v>Identificadores, instituições, produtos/quantidades, datas e assinaturas; confirmar por tipo.</x:v>
      </x:c>
      <x:c r="I308" s="8" t="str">
        <x:v>Cabeçalho extraído; estrutura preservada no PDF</x:v>
      </x:c>
    </x:row>
    <x:row r="309" ht="84" customHeight="1">
      <x:c r="A309" s="8" t="str">
        <x:v>ED-0098</x:v>
      </x:c>
      <x:c r="B309" s="8" t="str">
        <x:v>DOC-0108</x:v>
      </x:c>
      <x:c r="C309" s="8" t="str">
        <x:v>Alta Floresta</x:v>
      </x:c>
      <x:c r="D309" s="8" t="str">
        <x:v>V</x:v>
      </x:c>
      <x:c r="E309" s="8" t="str">
        <x:v>RESULTADO DA CHAMADA PÚBLICA</x:v>
      </x:c>
      <x:c r="F309" s="8" t="n">
        <x:v>25</x:v>
      </x:c>
      <x:c r="G309" s="8" t="str">
        <x:v>PNAE_MT_2025/01_ALTA_FLORESTA/DOC-0108_EDITAL-CHAMADA-PUBLICA-008-24-AF-ano-letivo-2025.pdf</x:v>
      </x:c>
      <x:c r="H309" s="8" t="str">
        <x:v>Identificadores, instituições, produtos/quantidades, datas e assinaturas; confirmar por tipo.</x:v>
      </x:c>
      <x:c r="I309" s="8" t="str">
        <x:v>Cabeçalho extraído; estrutura preservada no PDF</x:v>
      </x:c>
    </x:row>
    <x:row r="310" ht="84" customHeight="1">
      <x:c r="A310" s="8" t="str">
        <x:v>ED-0098</x:v>
      </x:c>
      <x:c r="B310" s="8" t="str">
        <x:v>DOC-0108</x:v>
      </x:c>
      <x:c r="C310" s="8" t="str">
        <x:v>Alta Floresta</x:v>
      </x:c>
      <x:c r="D310" s="8" t="str">
        <x:v>VI</x:v>
      </x:c>
      <x:c r="E310" s="8" t="str">
        <x:v>MINUTA TERMO DE CONTRATO Nº 0XX/202X/SEDUC/MT</x:v>
      </x:c>
      <x:c r="F310" s="8" t="n">
        <x:v>26</x:v>
      </x:c>
      <x:c r="G310" s="8" t="str">
        <x:v>PNAE_MT_2025/01_ALTA_FLORESTA/DOC-0108_EDITAL-CHAMADA-PUBLICA-008-24-AF-ano-letivo-2025.pdf</x:v>
      </x:c>
      <x:c r="H310" s="8" t="str">
        <x:v>Identificadores, instituições, produtos/quantidades, datas e assinaturas; confirmar por tipo.</x:v>
      </x:c>
      <x:c r="I310" s="8" t="str">
        <x:v>Cabeçalho extraído; estrutura preservada no PDF</x:v>
      </x:c>
    </x:row>
    <x:row r="311" ht="84" customHeight="1">
      <x:c r="A311" s="8" t="str">
        <x:v>ED-0121</x:v>
      </x:c>
      <x:c r="B311" s="8" t="str">
        <x:v>DOC-0131</x:v>
      </x:c>
      <x:c r="C311" s="8" t="str">
        <x:v>Pontes e Lacerda</x:v>
      </x:c>
      <x:c r="D311" s="8" t="str">
        <x:v>I</x:v>
      </x:c>
      <x:c r="E311" s="8" t="str">
        <x:v>PROJETOS DE VENDAS PARA OS FORNECEDORES INDIVIDUAIS</x:v>
      </x:c>
      <x:c r="F311" s="8" t="n">
        <x:v>56</x:v>
      </x:c>
      <x:c r="G311" s="8" t="str">
        <x:v>PNAE_MT_2025/09_PONTES_E_LACERDA/DOC-0131_edital-downloadPDF.php.pdf</x:v>
      </x:c>
      <x:c r="H311" s="8" t="str">
        <x:v>Identificadores, instituições, produtos/quantidades, datas e assinaturas; confirmar por tipo.</x:v>
      </x:c>
      <x:c r="I311" s="8" t="str">
        <x:v>Cabeçalho extraído; estrutura preservada no PDF</x:v>
      </x:c>
    </x:row>
    <x:row r="312" ht="84" customHeight="1">
      <x:c r="A312" s="8" t="str">
        <x:v>ED-0121</x:v>
      </x:c>
      <x:c r="B312" s="8" t="str">
        <x:v>DOC-0131</x:v>
      </x:c>
      <x:c r="C312" s="8" t="str">
        <x:v>Pontes e Lacerda</x:v>
      </x:c>
      <x:c r="D312" s="8" t="str">
        <x:v>II</x:v>
      </x:c>
      <x:c r="E312" s="8" t="str">
        <x:v>PROJETO DE VENDAS PARA OS GRUPOS INFORMAIS PROJETO DE VENDA DE GÊNEROS ALIMENTÍCIOS DA AGRICULTURA FAMILIAR PARA ALIMENTAÇÃO ESCOLAR/PNAE</x:v>
      </x:c>
      <x:c r="F312" s="8" t="n">
        <x:v>58</x:v>
      </x:c>
      <x:c r="G312" s="8" t="str">
        <x:v>PNAE_MT_2025/09_PONTES_E_LACERDA/DOC-0131_edital-downloadPDF.php.pdf</x:v>
      </x:c>
      <x:c r="H312" s="8" t="str">
        <x:v>Identificadores, instituições, produtos/quantidades, datas e assinaturas; confirmar por tipo.</x:v>
      </x:c>
      <x:c r="I312" s="8" t="str">
        <x:v>Cabeçalho extraído; estrutura preservada no PDF</x:v>
      </x:c>
    </x:row>
    <x:row r="313" ht="84" customHeight="1">
      <x:c r="A313" s="8" t="str">
        <x:v>ED-0121</x:v>
      </x:c>
      <x:c r="B313" s="8" t="str">
        <x:v>DOC-0131</x:v>
      </x:c>
      <x:c r="C313" s="8" t="str">
        <x:v>Pontes e Lacerda</x:v>
      </x:c>
      <x:c r="D313" s="8" t="str">
        <x:v>III</x:v>
      </x:c>
      <x:c r="E313" s="8" t="str">
        <x:v>PROJETO DE VENDAS PARA OS GRUPOS FORMAIS</x:v>
      </x:c>
      <x:c r="F313" s="8" t="n">
        <x:v>61</x:v>
      </x:c>
      <x:c r="G313" s="8" t="str">
        <x:v>PNAE_MT_2025/09_PONTES_E_LACERDA/DOC-0131_edital-downloadPDF.php.pdf</x:v>
      </x:c>
      <x:c r="H313" s="8" t="str">
        <x:v>Identificadores, instituições, produtos/quantidades, datas e assinaturas; confirmar por tipo.</x:v>
      </x:c>
      <x:c r="I313" s="8" t="str">
        <x:v>Cabeçalho extraído; estrutura preservada no PDF</x:v>
      </x:c>
    </x:row>
    <x:row r="314" ht="84" customHeight="1">
      <x:c r="A314" s="8" t="str">
        <x:v>ED-0121</x:v>
      </x:c>
      <x:c r="B314" s="8" t="str">
        <x:v>DOC-0131</x:v>
      </x:c>
      <x:c r="C314" s="8" t="str">
        <x:v>Pontes e Lacerda</x:v>
      </x:c>
      <x:c r="D314" s="8" t="str">
        <x:v>IV</x:v>
      </x:c>
      <x:c r="E314" s="8" t="str">
        <x:v>RELAÇÃO DAS UNIDADES ESCOLARES CONTEMPLADAS</x:v>
      </x:c>
      <x:c r="F314" s="8" t="n">
        <x:v>64</x:v>
      </x:c>
      <x:c r="G314" s="8" t="str">
        <x:v>PNAE_MT_2025/09_PONTES_E_LACERDA/DOC-0131_edital-downloadPDF.php.pdf</x:v>
      </x:c>
      <x:c r="H314" s="8" t="str">
        <x:v>Identificadores, instituições, produtos/quantidades, datas e assinaturas; confirmar por tipo.</x:v>
      </x:c>
      <x:c r="I314" s="8" t="str">
        <x:v>Cabeçalho extraído; estrutura preservada no PDF</x:v>
      </x:c>
    </x:row>
    <x:row r="315" ht="84" customHeight="1">
      <x:c r="A315" s="8" t="str">
        <x:v>ED-0121</x:v>
      </x:c>
      <x:c r="B315" s="8" t="str">
        <x:v>DOC-0131</x:v>
      </x:c>
      <x:c r="C315" s="8" t="str">
        <x:v>Pontes e Lacerda</x:v>
      </x:c>
      <x:c r="D315" s="8" t="str">
        <x:v>V</x:v>
      </x:c>
      <x:c r="E315" s="8" t="str">
        <x:v>RESULTADO DA CHAMADA PÚBLICA</x:v>
      </x:c>
      <x:c r="F315" s="8" t="n">
        <x:v>65</x:v>
      </x:c>
      <x:c r="G315" s="8" t="str">
        <x:v>PNAE_MT_2025/09_PONTES_E_LACERDA/DOC-0131_edital-downloadPDF.php.pdf</x:v>
      </x:c>
      <x:c r="H315" s="8" t="str">
        <x:v>Identificadores, instituições, produtos/quantidades, datas e assinaturas; confirmar por tipo.</x:v>
      </x:c>
      <x:c r="I315" s="8" t="str">
        <x:v>Cabeçalho extraído; estrutura preservada no PDF</x:v>
      </x:c>
    </x:row>
    <x:row r="316" ht="84" customHeight="1">
      <x:c r="A316" s="8" t="str">
        <x:v>ED-0121</x:v>
      </x:c>
      <x:c r="B316" s="8" t="str">
        <x:v>DOC-0131</x:v>
      </x:c>
      <x:c r="C316" s="8" t="str">
        <x:v>Pontes e Lacerda</x:v>
      </x:c>
      <x:c r="D316" s="8" t="str">
        <x:v>VI</x:v>
      </x:c>
      <x:c r="E316" s="8" t="str">
        <x:v>MINUTA TERMO DE CONTRATO Nº 001/2025/SEDUC/MT</x:v>
      </x:c>
      <x:c r="F316" s="8" t="n">
        <x:v>66</x:v>
      </x:c>
      <x:c r="G316" s="8" t="str">
        <x:v>PNAE_MT_2025/09_PONTES_E_LACERDA/DOC-0131_edital-downloadPDF.php.pdf</x:v>
      </x:c>
      <x:c r="H316" s="8" t="str">
        <x:v>Identificadores, instituições, produtos/quantidades, datas e assinaturas; confirmar por tipo.</x:v>
      </x:c>
      <x:c r="I316" s="8" t="str">
        <x:v>Cabeçalho extraído; estrutura preservada no PDF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b9bab07265741b0"/>
  </x:tableParts>
</x:worksheet>
</file>

<file path=xl/worksheets/sheet8.xml><?xml version="1.0" encoding="utf-8"?>
<x:worksheet xmlns:x="http://schemas.openxmlformats.org/spreadsheetml/2006/main">
  <x:sheetPr>
    <x:tabColor rgb="FF176B6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4" customHeight="1">
      <x:c r="A1" s="2" t="str">
        <x:v>Páginas efetivamente acessadas</x:v>
      </x:c>
      <x:c r="B1" s="2"/>
      <x:c r="C1" s="2"/>
      <x:c r="D1" s="2"/>
      <x:c r="E1" s="2"/>
      <x:c r="F1" s="2"/>
    </x:row>
    <x:row r="2" ht="44" customHeight="1">
      <x:c r="A2" s="5" t="str">
        <x:v>Registro de acesso direto e resposta HTTP. Páginas de escolas são evidência de vínculo atual; não autorizam projetar automaticamente esse vínculo para 2025.</x:v>
      </x:c>
      <x:c r="B2" s="5"/>
      <x:c r="C2" s="5"/>
      <x:c r="D2" s="5"/>
      <x:c r="E2" s="5"/>
      <x:c r="F2" s="5"/>
    </x:row>
    <x:row r="4" ht="48" customHeight="1">
      <x:c r="A4" s="10" t="str">
        <x:v>DRE</x:v>
      </x:c>
      <x:c r="B4" s="10" t="str">
        <x:v>URL acessada</x:v>
      </x:c>
      <x:c r="C4" s="10" t="str">
        <x:v>HTTP</x:v>
      </x:c>
      <x:c r="D4" s="10" t="str">
        <x:v>Categoria</x:v>
      </x:c>
      <x:c r="E4" s="10" t="str">
        <x:v>Data da pesquisa</x:v>
      </x:c>
    </x:row>
    <x:row r="5" ht="84" customHeight="1">
      <x:c r="A5" s="8" t="str">
        <x:v>Alta Floresta</x:v>
      </x:c>
      <x:c r="B5" s="8" t="str">
        <x:v>https://drealtafloresta.com.br/drealtafloresta/</x:v>
      </x:c>
      <x:c r="C5" s="8" t="str">
        <x:v>200</x:v>
      </x:c>
      <x:c r="D5" s="8" t="str">
        <x:v>Portal / seção documental</x:v>
      </x:c>
      <x:c r="E5" s="12" t="d">
        <x:v>2026-10-12T12:00:00.000Z</x:v>
      </x:c>
    </x:row>
    <x:row r="6" ht="84" customHeight="1">
      <x:c r="A6" s="8" t="str">
        <x:v>Barra do Garças</x:v>
      </x:c>
      <x:c r="B6" s="8" t="str">
        <x:v>https://sites.google.com/edu.mt.gov.br/dre-barra-do-garcas</x:v>
      </x:c>
      <x:c r="C6" s="8" t="str">
        <x:v>200</x:v>
      </x:c>
      <x:c r="D6" s="8" t="str">
        <x:v>Portal / seção documental</x:v>
      </x:c>
      <x:c r="E6" s="12" t="d">
        <x:v>2026-10-12T12:00:00.000Z</x:v>
      </x:c>
    </x:row>
    <x:row r="7" ht="84" customHeight="1">
      <x:c r="A7" s="8" t="str">
        <x:v>Cáceres</x:v>
      </x:c>
      <x:c r="B7" s="8" t="str">
        <x:v>https://www.drecaceres.com.br/</x:v>
      </x:c>
      <x:c r="C7" s="8" t="str">
        <x:v>200</x:v>
      </x:c>
      <x:c r="D7" s="8" t="str">
        <x:v>Portal / seção documental</x:v>
      </x:c>
      <x:c r="E7" s="12" t="d">
        <x:v>2026-10-12T12:00:00.000Z</x:v>
      </x:c>
    </x:row>
    <x:row r="8" ht="84" customHeight="1">
      <x:c r="A8" s="8" t="str">
        <x:v>Confresa</x:v>
      </x:c>
      <x:c r="B8" s="8" t="str">
        <x:v>https://dreconfresa.com.br/</x:v>
      </x:c>
      <x:c r="C8" s="8" t="str">
        <x:v>200</x:v>
      </x:c>
      <x:c r="D8" s="8" t="str">
        <x:v>Portal / seção documental</x:v>
      </x:c>
      <x:c r="E8" s="12" t="d">
        <x:v>2026-10-12T12:00:00.000Z</x:v>
      </x:c>
    </x:row>
    <x:row r="9" ht="84" customHeight="1">
      <x:c r="A9" s="8" t="str">
        <x:v>Diamantino</x:v>
      </x:c>
      <x:c r="B9" s="8" t="str">
        <x:v>https://sites.google.com/edu.mt.gov.br/drediamantino/in%C3%ADcio</x:v>
      </x:c>
      <x:c r="C9" s="8" t="str">
        <x:v>200</x:v>
      </x:c>
      <x:c r="D9" s="8" t="str">
        <x:v>Portal / seção documental</x:v>
      </x:c>
      <x:c r="E9" s="12" t="d">
        <x:v>2026-10-12T12:00:00.000Z</x:v>
      </x:c>
    </x:row>
    <x:row r="10" ht="84" customHeight="1">
      <x:c r="A10" s="8" t="str">
        <x:v>Juína</x:v>
      </x:c>
      <x:c r="B10" s="8" t="str">
        <x:v>https://www.drejuina.com.br/</x:v>
      </x:c>
      <x:c r="C10" s="8" t="str">
        <x:v>200</x:v>
      </x:c>
      <x:c r="D10" s="8" t="str">
        <x:v>Portal / seção documental</x:v>
      </x:c>
      <x:c r="E10" s="12" t="d">
        <x:v>2026-10-12T12:00:00.000Z</x:v>
      </x:c>
    </x:row>
    <x:row r="11" ht="84" customHeight="1">
      <x:c r="A11" s="8" t="str">
        <x:v>Matupá</x:v>
      </x:c>
      <x:c r="B11" s="8" t="str">
        <x:v>https://www.drematupa.com.br/</x:v>
      </x:c>
      <x:c r="C11" s="8" t="str">
        <x:v>200</x:v>
      </x:c>
      <x:c r="D11" s="8" t="str">
        <x:v>Portal / seção documental</x:v>
      </x:c>
      <x:c r="E11" s="12" t="d">
        <x:v>2026-10-12T12:00:00.000Z</x:v>
      </x:c>
    </x:row>
    <x:row r="12" ht="84" customHeight="1">
      <x:c r="A12" s="8" t="str">
        <x:v>Metropolitana</x:v>
      </x:c>
      <x:c r="B12" s="8" t="str">
        <x:v>https://www.dmetropolitana.org/</x:v>
      </x:c>
      <x:c r="C12" s="8" t="str">
        <x:v>200</x:v>
      </x:c>
      <x:c r="D12" s="8" t="str">
        <x:v>Portal / seção documental</x:v>
      </x:c>
      <x:c r="E12" s="12" t="d">
        <x:v>2026-10-12T12:00:00.000Z</x:v>
      </x:c>
    </x:row>
    <x:row r="13" ht="84" customHeight="1">
      <x:c r="A13" s="8" t="str">
        <x:v>Pontes e Lacerda</x:v>
      </x:c>
      <x:c r="B13" s="8" t="str">
        <x:v>https://dreponteselacerda.com.br/site/</x:v>
      </x:c>
      <x:c r="C13" s="8" t="str">
        <x:v>200</x:v>
      </x:c>
      <x:c r="D13" s="8" t="str">
        <x:v>Portal / seção documental</x:v>
      </x:c>
      <x:c r="E13" s="12" t="d">
        <x:v>2026-10-12T12:00:00.000Z</x:v>
      </x:c>
    </x:row>
    <x:row r="14" ht="84" customHeight="1">
      <x:c r="A14" s="8" t="str">
        <x:v>Primavera do Leste</x:v>
      </x:c>
      <x:c r="B14" s="8" t="str">
        <x:v>https://sites.google.com/edu.mt.gov.br/drepva/inicio</x:v>
      </x:c>
      <x:c r="C14" s="8" t="str">
        <x:v>200</x:v>
      </x:c>
      <x:c r="D14" s="8" t="str">
        <x:v>Portal / seção documental</x:v>
      </x:c>
      <x:c r="E14" s="12" t="d">
        <x:v>2026-10-12T12:00:00.000Z</x:v>
      </x:c>
    </x:row>
    <x:row r="15" ht="84" customHeight="1">
      <x:c r="A15" s="8" t="str">
        <x:v>Rondonópolis</x:v>
      </x:c>
      <x:c r="B15" s="8" t="str">
        <x:v>https://drerondonopolis.com.br/</x:v>
      </x:c>
      <x:c r="C15" s="8" t="str">
        <x:v>200</x:v>
      </x:c>
      <x:c r="D15" s="8" t="str">
        <x:v>Portal / seção documental</x:v>
      </x:c>
      <x:c r="E15" s="12" t="d">
        <x:v>2026-10-12T12:00:00.000Z</x:v>
      </x:c>
    </x:row>
    <x:row r="16" ht="84" customHeight="1">
      <x:c r="A16" s="8" t="str">
        <x:v>Sinop</x:v>
      </x:c>
      <x:c r="B16" s="8" t="str">
        <x:v>https://dresinop.com.br/</x:v>
      </x:c>
      <x:c r="C16" s="8" t="str">
        <x:v>200</x:v>
      </x:c>
      <x:c r="D16" s="8" t="str">
        <x:v>Portal / seção documental</x:v>
      </x:c>
      <x:c r="E16" s="12" t="d">
        <x:v>2026-10-12T12:00:00.000Z</x:v>
      </x:c>
    </x:row>
    <x:row r="17" ht="84" customHeight="1">
      <x:c r="A17" s="8" t="str">
        <x:v>Tangará da Serra</x:v>
      </x:c>
      <x:c r="B17" s="8" t="str">
        <x:v>https://sites.google.com/edu.mt.gov.br/dre-tangaradaserra/in%C3%ADcio</x:v>
      </x:c>
      <x:c r="C17" s="8" t="str">
        <x:v>200</x:v>
      </x:c>
      <x:c r="D17" s="8" t="str">
        <x:v>Portal / seção documental</x:v>
      </x:c>
      <x:c r="E17" s="12" t="d">
        <x:v>2026-10-12T12:00:00.000Z</x:v>
      </x:c>
    </x:row>
    <x:row r="18" ht="84" customHeight="1">
      <x:c r="A18" s="8" t="str">
        <x:v>Alta Floresta</x:v>
      </x:c>
      <x:c r="B18" s="8" t="str">
        <x:v>https://drealtafloresta.com.br/drealtafloresta/equipe-coadm/</x:v>
      </x:c>
      <x:c r="C18" s="8" t="str">
        <x:v>200</x:v>
      </x:c>
      <x:c r="D18" s="8" t="str">
        <x:v>Portal / seção documental</x:v>
      </x:c>
      <x:c r="E18" s="12" t="d">
        <x:v>2026-10-12T12:00:00.000Z</x:v>
      </x:c>
    </x:row>
    <x:row r="19" ht="84" customHeight="1">
      <x:c r="A19" s="8" t="str">
        <x:v>Alta Floresta</x:v>
      </x:c>
      <x:c r="B19" s="8" t="str">
        <x:v>https://drealtafloresta.com.br/drealtafloresta/produtos-coadm/</x:v>
      </x:c>
      <x:c r="C19" s="8" t="str">
        <x:v>200</x:v>
      </x:c>
      <x:c r="D19" s="8" t="str">
        <x:v>Portal / seção documental</x:v>
      </x:c>
      <x:c r="E19" s="12" t="d">
        <x:v>2026-10-12T12:00:00.000Z</x:v>
      </x:c>
    </x:row>
    <x:row r="20" ht="84" customHeight="1">
      <x:c r="A20" s="8" t="str">
        <x:v>Alta Floresta</x:v>
      </x:c>
      <x:c r="B20" s="8" t="str">
        <x:v>https://drealtafloresta.com.br/drealtafloresta/equipe-coger/</x:v>
      </x:c>
      <x:c r="C20" s="8" t="str">
        <x:v>200</x:v>
      </x:c>
      <x:c r="D20" s="8" t="str">
        <x:v>Portal / seção documental</x:v>
      </x:c>
      <x:c r="E20" s="12" t="d">
        <x:v>2026-10-12T12:00:00.000Z</x:v>
      </x:c>
    </x:row>
    <x:row r="21" ht="84" customHeight="1">
      <x:c r="A21" s="8" t="str">
        <x:v>Alta Floresta</x:v>
      </x:c>
      <x:c r="B21" s="8" t="str">
        <x:v>https://drealtafloresta.com.br/drealtafloresta/produtos-coger/</x:v>
      </x:c>
      <x:c r="C21" s="8" t="str">
        <x:v>200</x:v>
      </x:c>
      <x:c r="D21" s="8" t="str">
        <x:v>Portal / seção documental</x:v>
      </x:c>
      <x:c r="E21" s="12" t="d">
        <x:v>2026-10-12T12:00:00.000Z</x:v>
      </x:c>
    </x:row>
    <x:row r="22" ht="84" customHeight="1">
      <x:c r="A22" s="8" t="str">
        <x:v>Alta Floresta</x:v>
      </x:c>
      <x:c r="B22" s="8" t="str">
        <x:v>https://drealtafloresta.com.br/drealtafloresta/editais/</x:v>
      </x:c>
      <x:c r="C22" s="8" t="str">
        <x:v>200</x:v>
      </x:c>
      <x:c r="D22" s="8" t="str">
        <x:v>Portal / seção documental</x:v>
      </x:c>
      <x:c r="E22" s="12" t="d">
        <x:v>2026-10-12T12:00:00.000Z</x:v>
      </x:c>
    </x:row>
    <x:row r="23" ht="84" customHeight="1">
      <x:c r="A23" s="8" t="str">
        <x:v>Cáceres</x:v>
      </x:c>
      <x:c r="B23" s="8" t="str">
        <x:v>https://www.drecaceres.com.br/coordenadoria.php?slug=coger</x:v>
      </x:c>
      <x:c r="C23" s="8" t="str">
        <x:v>200</x:v>
      </x:c>
      <x:c r="D23" s="8" t="str">
        <x:v>Portal / seção documental</x:v>
      </x:c>
      <x:c r="E23" s="12" t="d">
        <x:v>2026-10-12T12:00:00.000Z</x:v>
      </x:c>
    </x:row>
    <x:row r="24" ht="84" customHeight="1">
      <x:c r="A24" s="8" t="str">
        <x:v>Cáceres</x:v>
      </x:c>
      <x:c r="B24" s="8" t="str">
        <x:v>https://www.drecaceres.com.br/coordenadoria.php?slug=coadm</x:v>
      </x:c>
      <x:c r="C24" s="8" t="str">
        <x:v>200</x:v>
      </x:c>
      <x:c r="D24" s="8" t="str">
        <x:v>Portal / seção documental</x:v>
      </x:c>
      <x:c r="E24" s="12" t="d">
        <x:v>2026-10-12T12:00:00.000Z</x:v>
      </x:c>
    </x:row>
    <x:row r="25" ht="84" customHeight="1">
      <x:c r="A25" s="8" t="str">
        <x:v>Cáceres</x:v>
      </x:c>
      <x:c r="B25" s="8" t="str">
        <x:v>https://www.drecaceres.com.br/noticias.php</x:v>
      </x:c>
      <x:c r="C25" s="8" t="str">
        <x:v>200</x:v>
      </x:c>
      <x:c r="D25" s="8" t="str">
        <x:v>Portal / seção documental</x:v>
      </x:c>
      <x:c r="E25" s="12" t="d">
        <x:v>2026-10-12T12:00:00.000Z</x:v>
      </x:c>
    </x:row>
    <x:row r="26" ht="84" customHeight="1">
      <x:c r="A26" s="8" t="str">
        <x:v>Cáceres</x:v>
      </x:c>
      <x:c r="B26" s="8" t="str">
        <x:v>https://www.drecaceres.com.br/editais.php</x:v>
      </x:c>
      <x:c r="C26" s="8" t="str">
        <x:v>200</x:v>
      </x:c>
      <x:c r="D26" s="8" t="str">
        <x:v>Portal / seção documental</x:v>
      </x:c>
      <x:c r="E26" s="12" t="d">
        <x:v>2026-10-12T12:00:00.000Z</x:v>
      </x:c>
    </x:row>
    <x:row r="27" ht="84" customHeight="1">
      <x:c r="A27" s="8" t="str">
        <x:v>Confresa</x:v>
      </x:c>
      <x:c r="B27" s="8" t="str">
        <x:v>https://dreconfresa.com.br/editais-simplificados.php</x:v>
      </x:c>
      <x:c r="C27" s="8" t="str">
        <x:v>200</x:v>
      </x:c>
      <x:c r="D27" s="8" t="str">
        <x:v>Portal / seção documental</x:v>
      </x:c>
      <x:c r="E27" s="12" t="d">
        <x:v>2026-10-12T12:00:00.000Z</x:v>
      </x:c>
    </x:row>
    <x:row r="28" ht="84" customHeight="1">
      <x:c r="A28" s="8" t="str">
        <x:v>Confresa</x:v>
      </x:c>
      <x:c r="B28" s="8" t="str">
        <x:v>https://dreconfresa.com.br/resultado-de-editais.php</x:v>
      </x:c>
      <x:c r="C28" s="8" t="str">
        <x:v>200</x:v>
      </x:c>
      <x:c r="D28" s="8" t="str">
        <x:v>Portal / seção documental</x:v>
      </x:c>
      <x:c r="E28" s="12" t="d">
        <x:v>2026-10-12T12:00:00.000Z</x:v>
      </x:c>
    </x:row>
    <x:row r="29" ht="84" customHeight="1">
      <x:c r="A29" s="8" t="str">
        <x:v>Confresa</x:v>
      </x:c>
      <x:c r="B29" s="8" t="str">
        <x:v>https://dreconfresa.com.br/coadm-equipe.php</x:v>
      </x:c>
      <x:c r="C29" s="8" t="str">
        <x:v>200</x:v>
      </x:c>
      <x:c r="D29" s="8" t="str">
        <x:v>Portal / seção documental</x:v>
      </x:c>
      <x:c r="E29" s="12" t="d">
        <x:v>2026-10-12T12:00:00.000Z</x:v>
      </x:c>
    </x:row>
    <x:row r="30" ht="84" customHeight="1">
      <x:c r="A30" s="8" t="str">
        <x:v>Confresa</x:v>
      </x:c>
      <x:c r="B30" s="8" t="str">
        <x:v>https://dreconfresa.com.br/coadm-atribuicoes.php</x:v>
      </x:c>
      <x:c r="C30" s="8" t="str">
        <x:v>200</x:v>
      </x:c>
      <x:c r="D30" s="8" t="str">
        <x:v>Portal / seção documental</x:v>
      </x:c>
      <x:c r="E30" s="12" t="d">
        <x:v>2026-10-12T12:00:00.000Z</x:v>
      </x:c>
    </x:row>
    <x:row r="31" ht="84" customHeight="1">
      <x:c r="A31" s="8" t="str">
        <x:v>Confresa</x:v>
      </x:c>
      <x:c r="B31" s="8" t="str">
        <x:v>https://dreconfresa.com.br/coadm-fale-com-a-coordenadoria.php</x:v>
      </x:c>
      <x:c r="C31" s="8" t="str">
        <x:v>200</x:v>
      </x:c>
      <x:c r="D31" s="8" t="str">
        <x:v>Portal / seção documental</x:v>
      </x:c>
      <x:c r="E31" s="12" t="d">
        <x:v>2026-10-12T12:00:00.000Z</x:v>
      </x:c>
    </x:row>
    <x:row r="32" ht="84" customHeight="1">
      <x:c r="A32" s="8" t="str">
        <x:v>Confresa</x:v>
      </x:c>
      <x:c r="B32" s="8" t="str">
        <x:v>https://dreconfresa.com.br/coger-equipe.php</x:v>
      </x:c>
      <x:c r="C32" s="8" t="str">
        <x:v>200</x:v>
      </x:c>
      <x:c r="D32" s="8" t="str">
        <x:v>Portal / seção documental</x:v>
      </x:c>
      <x:c r="E32" s="12" t="d">
        <x:v>2026-10-12T12:00:00.000Z</x:v>
      </x:c>
    </x:row>
    <x:row r="33" ht="84" customHeight="1">
      <x:c r="A33" s="8" t="str">
        <x:v>Confresa</x:v>
      </x:c>
      <x:c r="B33" s="8" t="str">
        <x:v>https://dreconfresa.com.br/coger-atribuicoes.php</x:v>
      </x:c>
      <x:c r="C33" s="8" t="str">
        <x:v>200</x:v>
      </x:c>
      <x:c r="D33" s="8" t="str">
        <x:v>Portal / seção documental</x:v>
      </x:c>
      <x:c r="E33" s="12" t="d">
        <x:v>2026-10-12T12:00:00.000Z</x:v>
      </x:c>
    </x:row>
    <x:row r="34" ht="84" customHeight="1">
      <x:c r="A34" s="8" t="str">
        <x:v>Confresa</x:v>
      </x:c>
      <x:c r="B34" s="8" t="str">
        <x:v>https://dreconfresa.com.br/coger-fale-com-a-coordenadoria.php</x:v>
      </x:c>
      <x:c r="C34" s="8" t="str">
        <x:v>200</x:v>
      </x:c>
      <x:c r="D34" s="8" t="str">
        <x:v>Portal / seção documental</x:v>
      </x:c>
      <x:c r="E34" s="12" t="d">
        <x:v>2026-10-12T12:00:00.000Z</x:v>
      </x:c>
    </x:row>
    <x:row r="35" ht="84" customHeight="1">
      <x:c r="A35" s="8" t="str">
        <x:v>Confresa</x:v>
      </x:c>
      <x:c r="B35" s="8" t="str">
        <x:v>https://dreconfresa.com.br/noticias.php</x:v>
      </x:c>
      <x:c r="C35" s="8" t="str">
        <x:v>200</x:v>
      </x:c>
      <x:c r="D35" s="8" t="str">
        <x:v>Portal / seção documental</x:v>
      </x:c>
      <x:c r="E35" s="12" t="d">
        <x:v>2026-10-12T12:00:00.000Z</x:v>
      </x:c>
    </x:row>
    <x:row r="36" ht="84" customHeight="1">
      <x:c r="A36" s="8" t="str">
        <x:v>Diamantino</x:v>
      </x:c>
      <x:c r="B36" s="8" t="str">
        <x:v>https://sites.google.com/edu.mt.gov.br/drediamantino/pregão</x:v>
      </x:c>
      <x:c r="C36" s="8" t="str">
        <x:v>200</x:v>
      </x:c>
      <x:c r="D36" s="8" t="str">
        <x:v>Portal / seção documental</x:v>
      </x:c>
      <x:c r="E36" s="12" t="d">
        <x:v>2026-10-12T12:00:00.000Z</x:v>
      </x:c>
    </x:row>
    <x:row r="37" ht="84" customHeight="1">
      <x:c r="A37" s="8" t="str">
        <x:v>Diamantino</x:v>
      </x:c>
      <x:c r="B37" s="8" t="str">
        <x:v>https://sites.google.com/edu.mt.gov.br/drediamantino/chamada-pública</x:v>
      </x:c>
      <x:c r="C37" s="8" t="str">
        <x:v>200</x:v>
      </x:c>
      <x:c r="D37" s="8" t="str">
        <x:v>Portal / seção documental</x:v>
      </x:c>
      <x:c r="E37" s="12" t="d">
        <x:v>2026-10-12T12:00:00.000Z</x:v>
      </x:c>
    </x:row>
    <x:row r="38" ht="84" customHeight="1">
      <x:c r="A38" s="8" t="str">
        <x:v>Juína</x:v>
      </x:c>
      <x:c r="B38" s="8" t="str">
        <x:v>https://www.drejuina.com.br/editals</x:v>
      </x:c>
      <x:c r="C38" s="8" t="str">
        <x:v>200</x:v>
      </x:c>
      <x:c r="D38" s="8" t="str">
        <x:v>Portal / seção documental</x:v>
      </x:c>
      <x:c r="E38" s="12" t="d">
        <x:v>2026-10-12T12:00:00.000Z</x:v>
      </x:c>
    </x:row>
    <x:row r="39" ht="84" customHeight="1">
      <x:c r="A39" s="8" t="str">
        <x:v>Juína</x:v>
      </x:c>
      <x:c r="B39" s="8" t="str">
        <x:v>https://www.drejuina.com.br/informativos</x:v>
      </x:c>
      <x:c r="C39" s="8" t="str">
        <x:v>200</x:v>
      </x:c>
      <x:c r="D39" s="8" t="str">
        <x:v>Portal / seção documental</x:v>
      </x:c>
      <x:c r="E39" s="12" t="d">
        <x:v>2026-10-12T12:00:00.000Z</x:v>
      </x:c>
    </x:row>
    <x:row r="40" ht="84" customHeight="1">
      <x:c r="A40" s="8" t="str">
        <x:v>Juína</x:v>
      </x:c>
      <x:c r="B40" s="8" t="str">
        <x:v>https://www.drejuina.com.br/dirigente/3/coadm</x:v>
      </x:c>
      <x:c r="C40" s="8" t="str">
        <x:v>200</x:v>
      </x:c>
      <x:c r="D40" s="8" t="str">
        <x:v>Portal / seção documental</x:v>
      </x:c>
      <x:c r="E40" s="12" t="d">
        <x:v>2026-10-12T12:00:00.000Z</x:v>
      </x:c>
    </x:row>
    <x:row r="41" ht="84" customHeight="1">
      <x:c r="A41" s="8" t="str">
        <x:v>Juína</x:v>
      </x:c>
      <x:c r="B41" s="8" t="str">
        <x:v>https://www.drejuina.com.br/dirigente/1/coger</x:v>
      </x:c>
      <x:c r="C41" s="8" t="str">
        <x:v>200</x:v>
      </x:c>
      <x:c r="D41" s="8" t="str">
        <x:v>Portal / seção documental</x:v>
      </x:c>
      <x:c r="E41" s="12" t="d">
        <x:v>2026-10-12T12:00:00.000Z</x:v>
      </x:c>
    </x:row>
    <x:row r="42" ht="84" customHeight="1">
      <x:c r="A42" s="8" t="str">
        <x:v>Matupá</x:v>
      </x:c>
      <x:c r="B42" s="8" t="str">
        <x:v>https://www.drematupa.com.br/departamentos/COADM</x:v>
      </x:c>
      <x:c r="C42" s="8" t="str">
        <x:v>200</x:v>
      </x:c>
      <x:c r="D42" s="8" t="str">
        <x:v>Portal / seção documental</x:v>
      </x:c>
      <x:c r="E42" s="12" t="d">
        <x:v>2026-10-12T12:00:00.000Z</x:v>
      </x:c>
    </x:row>
    <x:row r="43" ht="84" customHeight="1">
      <x:c r="A43" s="8" t="str">
        <x:v>Matupá</x:v>
      </x:c>
      <x:c r="B43" s="8" t="str">
        <x:v>https://www.drematupa.com.br/departamentos/COGER</x:v>
      </x:c>
      <x:c r="C43" s="8" t="str">
        <x:v>200</x:v>
      </x:c>
      <x:c r="D43" s="8" t="str">
        <x:v>Portal / seção documental</x:v>
      </x:c>
      <x:c r="E43" s="12" t="d">
        <x:v>2026-10-12T12:00:00.000Z</x:v>
      </x:c>
    </x:row>
    <x:row r="44" ht="84" customHeight="1">
      <x:c r="A44" s="8" t="str">
        <x:v>Metropolitana</x:v>
      </x:c>
      <x:c r="B44" s="8" t="str">
        <x:v>https://www.dmetropolitana.org/solicitacaodedocumentoescolar</x:v>
      </x:c>
      <x:c r="C44" s="8" t="str">
        <x:v>200</x:v>
      </x:c>
      <x:c r="D44" s="8" t="str">
        <x:v>Portal / seção documental</x:v>
      </x:c>
      <x:c r="E44" s="12" t="d">
        <x:v>2026-10-12T12:00:00.000Z</x:v>
      </x:c>
    </x:row>
    <x:row r="45" ht="84" customHeight="1">
      <x:c r="A45" s="8" t="str">
        <x:v>Metropolitana</x:v>
      </x:c>
      <x:c r="B45" s="8" t="str">
        <x:v>https://www.dmetropolitana.org/coadm</x:v>
      </x:c>
      <x:c r="C45" s="8" t="str">
        <x:v>200</x:v>
      </x:c>
      <x:c r="D45" s="8" t="str">
        <x:v>Portal / seção documental</x:v>
      </x:c>
      <x:c r="E45" s="12" t="d">
        <x:v>2026-10-12T12:00:00.000Z</x:v>
      </x:c>
    </x:row>
    <x:row r="46" ht="84" customHeight="1">
      <x:c r="A46" s="8" t="str">
        <x:v>Pontes e Lacerda</x:v>
      </x:c>
      <x:c r="B46" s="8" t="str">
        <x:v>https://dreponteselacerda.com.br/site/informativos-geral.php</x:v>
      </x:c>
      <x:c r="C46" s="8" t="str">
        <x:v>200</x:v>
      </x:c>
      <x:c r="D46" s="8" t="str">
        <x:v>Portal / seção documental</x:v>
      </x:c>
      <x:c r="E46" s="12" t="d">
        <x:v>2026-10-12T12:00:00.000Z</x:v>
      </x:c>
    </x:row>
    <x:row r="47" ht="84" customHeight="1">
      <x:c r="A47" s="8" t="str">
        <x:v>Pontes e Lacerda</x:v>
      </x:c>
      <x:c r="B47" s="8" t="str">
        <x:v>https://dreponteselacerda.com.br/site/coord-coadm.php</x:v>
      </x:c>
      <x:c r="C47" s="8" t="str">
        <x:v>200</x:v>
      </x:c>
      <x:c r="D47" s="8" t="str">
        <x:v>Portal / seção documental</x:v>
      </x:c>
      <x:c r="E47" s="12" t="d">
        <x:v>2026-10-12T12:00:00.000Z</x:v>
      </x:c>
    </x:row>
    <x:row r="48" ht="84" customHeight="1">
      <x:c r="A48" s="8" t="str">
        <x:v>Pontes e Lacerda</x:v>
      </x:c>
      <x:c r="B48" s="8" t="str">
        <x:v>https://dreponteselacerda.com.br/site/coord-coger.php</x:v>
      </x:c>
      <x:c r="C48" s="8" t="str">
        <x:v>200</x:v>
      </x:c>
      <x:c r="D48" s="8" t="str">
        <x:v>Portal / seção documental</x:v>
      </x:c>
      <x:c r="E48" s="12" t="d">
        <x:v>2026-10-12T12:00:00.000Z</x:v>
      </x:c>
    </x:row>
    <x:row r="49" ht="84" customHeight="1">
      <x:c r="A49" s="8" t="str">
        <x:v>Primavera do Leste</x:v>
      </x:c>
      <x:c r="B49" s="8" t="str">
        <x:v>https://sites.google.com/edu.mt.gov.br/drepva/editais/editais-e-soliciação-de-documentos/solicitação-de-documentos-escolas-extintas</x:v>
      </x:c>
      <x:c r="C49" s="8" t="str">
        <x:v>200</x:v>
      </x:c>
      <x:c r="D49" s="8" t="str">
        <x:v>Portal / seção documental</x:v>
      </x:c>
      <x:c r="E49" s="12" t="d">
        <x:v>2026-10-12T12:00:00.000Z</x:v>
      </x:c>
    </x:row>
    <x:row r="50" ht="84" customHeight="1">
      <x:c r="A50" s="8" t="str">
        <x:v>Primavera do Leste</x:v>
      </x:c>
      <x:c r="B50" s="8" t="str">
        <x:v>https://sites.google.com/edu.mt.gov.br/drepva/coordenadorias</x:v>
      </x:c>
      <x:c r="C50" s="8" t="str">
        <x:v>200</x:v>
      </x:c>
      <x:c r="D50" s="8" t="str">
        <x:v>Portal / seção documental</x:v>
      </x:c>
      <x:c r="E50" s="12" t="d">
        <x:v>2026-10-12T12:00:00.000Z</x:v>
      </x:c>
    </x:row>
    <x:row r="51" ht="84" customHeight="1">
      <x:c r="A51" s="8" t="str">
        <x:v>Primavera do Leste</x:v>
      </x:c>
      <x:c r="B51" s="8" t="str">
        <x:v>https://sites.google.com/edu.mt.gov.br/drepva/coordenadorias/cofor</x:v>
      </x:c>
      <x:c r="C51" s="8" t="str">
        <x:v>200</x:v>
      </x:c>
      <x:c r="D51" s="8" t="str">
        <x:v>Portal / seção documental</x:v>
      </x:c>
      <x:c r="E51" s="12" t="d">
        <x:v>2026-10-12T12:00:00.000Z</x:v>
      </x:c>
    </x:row>
    <x:row r="52" ht="84" customHeight="1">
      <x:c r="A52" s="8" t="str">
        <x:v>Primavera do Leste</x:v>
      </x:c>
      <x:c r="B52" s="8" t="str">
        <x:v>https://sites.google.com/edu.mt.gov.br/drepva/coordenadorias/cofor/atestados-de-participação-formação</x:v>
      </x:c>
      <x:c r="C52" s="8" t="str">
        <x:v>200</x:v>
      </x:c>
      <x:c r="D52" s="8" t="str">
        <x:v>Portal / seção documental</x:v>
      </x:c>
      <x:c r="E52" s="12" t="d">
        <x:v>2026-10-12T12:00:00.000Z</x:v>
      </x:c>
    </x:row>
    <x:row r="53" ht="84" customHeight="1">
      <x:c r="A53" s="8" t="str">
        <x:v>Primavera do Leste</x:v>
      </x:c>
      <x:c r="B53" s="8" t="str">
        <x:v>https://sites.google.com/edu.mt.gov.br/drepva/coordenadorias/coped</x:v>
      </x:c>
      <x:c r="C53" s="8" t="str">
        <x:v>200</x:v>
      </x:c>
      <x:c r="D53" s="8" t="str">
        <x:v>Portal / seção documental</x:v>
      </x:c>
      <x:c r="E53" s="12" t="d">
        <x:v>2026-10-12T12:00:00.000Z</x:v>
      </x:c>
    </x:row>
    <x:row r="54" ht="84" customHeight="1">
      <x:c r="A54" s="8" t="str">
        <x:v>Primavera do Leste</x:v>
      </x:c>
      <x:c r="B54" s="8" t="str">
        <x:v>https://sites.google.com/edu.mt.gov.br/drepva/coordenadorias/coped/equipe-coped</x:v>
      </x:c>
      <x:c r="C54" s="8" t="str">
        <x:v>200</x:v>
      </x:c>
      <x:c r="D54" s="8" t="str">
        <x:v>Portal / seção documental</x:v>
      </x:c>
      <x:c r="E54" s="12" t="d">
        <x:v>2026-10-12T12:00:00.000Z</x:v>
      </x:c>
    </x:row>
    <x:row r="55" ht="84" customHeight="1">
      <x:c r="A55" s="8" t="str">
        <x:v>Primavera do Leste</x:v>
      </x:c>
      <x:c r="B55" s="8" t="str">
        <x:v>https://sites.google.com/edu.mt.gov.br/drepva/coordenadorias/coger</x:v>
      </x:c>
      <x:c r="C55" s="8" t="str">
        <x:v>200</x:v>
      </x:c>
      <x:c r="D55" s="8" t="str">
        <x:v>Portal / seção documental</x:v>
      </x:c>
      <x:c r="E55" s="12" t="d">
        <x:v>2026-10-12T12:00:00.000Z</x:v>
      </x:c>
    </x:row>
    <x:row r="56" ht="84" customHeight="1">
      <x:c r="A56" s="8" t="str">
        <x:v>Primavera do Leste</x:v>
      </x:c>
      <x:c r="B56" s="8" t="str">
        <x:v>https://sites.google.com/edu.mt.gov.br/drepva/coordenadorias/coger/equipe-coger</x:v>
      </x:c>
      <x:c r="C56" s="8" t="str">
        <x:v>200</x:v>
      </x:c>
      <x:c r="D56" s="8" t="str">
        <x:v>Portal / seção documental</x:v>
      </x:c>
      <x:c r="E56" s="12" t="d">
        <x:v>2026-10-12T12:00:00.000Z</x:v>
      </x:c>
    </x:row>
    <x:row r="57" ht="84" customHeight="1">
      <x:c r="A57" s="8" t="str">
        <x:v>Primavera do Leste</x:v>
      </x:c>
      <x:c r="B57" s="8" t="str">
        <x:v>https://sites.google.com/edu.mt.gov.br/drepva/coordenadorias/coadm</x:v>
      </x:c>
      <x:c r="C57" s="8" t="str">
        <x:v>200</x:v>
      </x:c>
      <x:c r="D57" s="8" t="str">
        <x:v>Portal / seção documental</x:v>
      </x:c>
      <x:c r="E57" s="12" t="d">
        <x:v>2026-10-12T12:00:00.000Z</x:v>
      </x:c>
    </x:row>
    <x:row r="58" ht="84" customHeight="1">
      <x:c r="A58" s="8" t="str">
        <x:v>Primavera do Leste</x:v>
      </x:c>
      <x:c r="B58" s="8" t="str">
        <x:v>https://sites.google.com/edu.mt.gov.br/drepva/coordenadorias/coadm/equipe-coadm</x:v>
      </x:c>
      <x:c r="C58" s="8" t="str">
        <x:v>200</x:v>
      </x:c>
      <x:c r="D58" s="8" t="str">
        <x:v>Portal / seção documental</x:v>
      </x:c>
      <x:c r="E58" s="12" t="d">
        <x:v>2026-10-12T12:00:00.000Z</x:v>
      </x:c>
    </x:row>
    <x:row r="59" ht="84" customHeight="1">
      <x:c r="A59" s="8" t="str">
        <x:v>Primavera do Leste</x:v>
      </x:c>
      <x:c r="B59" s="8" t="str">
        <x:v>https://sites.google.com/edu.mt.gov.br/drepva/coordenadorias/coadm/certames-2025</x:v>
      </x:c>
      <x:c r="C59" s="8" t="str">
        <x:v>200</x:v>
      </x:c>
      <x:c r="D59" s="8" t="str">
        <x:v>Portal / seção documental</x:v>
      </x:c>
      <x:c r="E59" s="12" t="d">
        <x:v>2026-10-12T12:00:00.000Z</x:v>
      </x:c>
    </x:row>
    <x:row r="60" ht="84" customHeight="1">
      <x:c r="A60" s="8" t="str">
        <x:v>Primavera do Leste</x:v>
      </x:c>
      <x:c r="B60" s="8" t="str">
        <x:v>https://sites.google.com/edu.mt.gov.br/drepva/coordenadorias/coadm/certames-2026</x:v>
      </x:c>
      <x:c r="C60" s="8" t="str">
        <x:v>200</x:v>
      </x:c>
      <x:c r="D60" s="8" t="str">
        <x:v>Portal / seção documental</x:v>
      </x:c>
      <x:c r="E60" s="12" t="d">
        <x:v>2026-10-12T12:00:00.000Z</x:v>
      </x:c>
    </x:row>
    <x:row r="61" ht="84" customHeight="1">
      <x:c r="A61" s="8" t="str">
        <x:v>Primavera do Leste</x:v>
      </x:c>
      <x:c r="B61" s="8" t="str">
        <x:v>https://sites.google.com/edu.mt.gov.br/drepva/coordenadorias/cogpe</x:v>
      </x:c>
      <x:c r="C61" s="8" t="str">
        <x:v>200</x:v>
      </x:c>
      <x:c r="D61" s="8" t="str">
        <x:v>Portal / seção documental</x:v>
      </x:c>
      <x:c r="E61" s="12" t="d">
        <x:v>2026-10-12T12:00:00.000Z</x:v>
      </x:c>
    </x:row>
    <x:row r="62" ht="84" customHeight="1">
      <x:c r="A62" s="8" t="str">
        <x:v>Primavera do Leste</x:v>
      </x:c>
      <x:c r="B62" s="8" t="str">
        <x:v>https://sites.google.com/edu.mt.gov.br/drepva/coordenadorias/cogpe/equipe-cogpe</x:v>
      </x:c>
      <x:c r="C62" s="8" t="str">
        <x:v>200</x:v>
      </x:c>
      <x:c r="D62" s="8" t="str">
        <x:v>Portal / seção documental</x:v>
      </x:c>
      <x:c r="E62" s="12" t="d">
        <x:v>2026-10-12T12:00:00.000Z</x:v>
      </x:c>
    </x:row>
    <x:row r="63" ht="84" customHeight="1">
      <x:c r="A63" s="8" t="str">
        <x:v>Primavera do Leste</x:v>
      </x:c>
      <x:c r="B63" s="8" t="str">
        <x:v>https://sites.google.com/edu.mt.gov.br/drepva/coordenadorias/coipt</x:v>
      </x:c>
      <x:c r="C63" s="8" t="str">
        <x:v>200</x:v>
      </x:c>
      <x:c r="D63" s="8" t="str">
        <x:v>Portal / seção documental</x:v>
      </x:c>
      <x:c r="E63" s="12" t="d">
        <x:v>2026-10-12T12:00:00.000Z</x:v>
      </x:c>
    </x:row>
    <x:row r="64" ht="84" customHeight="1">
      <x:c r="A64" s="8" t="str">
        <x:v>Primavera do Leste</x:v>
      </x:c>
      <x:c r="B64" s="8" t="str">
        <x:v>https://sites.google.com/edu.mt.gov.br/drepva/coordenadorias/coipt/equipe-coipt</x:v>
      </x:c>
      <x:c r="C64" s="8" t="str">
        <x:v>200</x:v>
      </x:c>
      <x:c r="D64" s="8" t="str">
        <x:v>Portal / seção documental</x:v>
      </x:c>
      <x:c r="E64" s="12" t="d">
        <x:v>2026-10-12T12:00:00.000Z</x:v>
      </x:c>
    </x:row>
    <x:row r="65" ht="84" customHeight="1">
      <x:c r="A65" s="8" t="str">
        <x:v>Rondonópolis</x:v>
      </x:c>
      <x:c r="B65" s="8" t="str">
        <x:v>https://drerondonopolis.com.br/dre/coadm/</x:v>
      </x:c>
      <x:c r="C65" s="8" t="str">
        <x:v>200</x:v>
      </x:c>
      <x:c r="D65" s="8" t="str">
        <x:v>Portal / seção documental</x:v>
      </x:c>
      <x:c r="E65" s="12" t="d">
        <x:v>2026-10-12T12:00:00.000Z</x:v>
      </x:c>
    </x:row>
    <x:row r="66" ht="84" customHeight="1">
      <x:c r="A66" s="8" t="str">
        <x:v>Rondonópolis</x:v>
      </x:c>
      <x:c r="B66" s="8" t="str">
        <x:v>https://drerondonopolis.com.br/dre/coger/</x:v>
      </x:c>
      <x:c r="C66" s="8" t="str">
        <x:v>200</x:v>
      </x:c>
      <x:c r="D66" s="8" t="str">
        <x:v>Portal / seção documental</x:v>
      </x:c>
      <x:c r="E66" s="12" t="d">
        <x:v>2026-10-12T12:00:00.000Z</x:v>
      </x:c>
    </x:row>
    <x:row r="67" ht="84" customHeight="1">
      <x:c r="A67" s="8" t="str">
        <x:v>Rondonópolis</x:v>
      </x:c>
      <x:c r="B67" s="8" t="str">
        <x:v>https://drerondonopolis.com.br/editais/</x:v>
      </x:c>
      <x:c r="C67" s="8" t="str">
        <x:v>200</x:v>
      </x:c>
      <x:c r="D67" s="8" t="str">
        <x:v>Portal / seção documental</x:v>
      </x:c>
      <x:c r="E67" s="12" t="d">
        <x:v>2026-10-12T12:00:00.000Z</x:v>
      </x:c>
    </x:row>
    <x:row r="68" ht="84" customHeight="1">
      <x:c r="A68" s="8" t="str">
        <x:v>Sinop</x:v>
      </x:c>
      <x:c r="B68" s="8" t="str">
        <x:v>https://dresinop.com.br/departamentos/COADM</x:v>
      </x:c>
      <x:c r="C68" s="8" t="str">
        <x:v>200</x:v>
      </x:c>
      <x:c r="D68" s="8" t="str">
        <x:v>Portal / seção documental</x:v>
      </x:c>
      <x:c r="E68" s="12" t="d">
        <x:v>2026-10-12T12:00:00.000Z</x:v>
      </x:c>
    </x:row>
    <x:row r="69" ht="84" customHeight="1">
      <x:c r="A69" s="8" t="str">
        <x:v>Sinop</x:v>
      </x:c>
      <x:c r="B69" s="8" t="str">
        <x:v>https://dresinop.com.br/departamentos/COGER</x:v>
      </x:c>
      <x:c r="C69" s="8" t="str">
        <x:v>200</x:v>
      </x:c>
      <x:c r="D69" s="8" t="str">
        <x:v>Portal / seção documental</x:v>
      </x:c>
      <x:c r="E69" s="12" t="d">
        <x:v>2026-10-12T12:00:00.000Z</x:v>
      </x:c>
    </x:row>
    <x:row r="70" ht="84" customHeight="1">
      <x:c r="A70" s="8" t="str">
        <x:v>Tangará da Serra</x:v>
      </x:c>
      <x:c r="B70" s="8" t="str">
        <x:v>https://sites.google.com/edu.mt.gov.br/dre-tangaradaserra/institucional/coordenadorias</x:v>
      </x:c>
      <x:c r="C70" s="8" t="str">
        <x:v>200</x:v>
      </x:c>
      <x:c r="D70" s="8" t="str">
        <x:v>Portal / seção documental</x:v>
      </x:c>
      <x:c r="E70" s="12" t="d">
        <x:v>2026-10-12T12:00:00.000Z</x:v>
      </x:c>
    </x:row>
    <x:row r="71" ht="84" customHeight="1">
      <x:c r="A71" s="8" t="str">
        <x:v>Tangará da Serra</x:v>
      </x:c>
      <x:c r="B71" s="8" t="str">
        <x:v>https://sites.google.com/edu.mt.gov.br/dre-tangaradaserra/institucional/coordenadorias/coadm</x:v>
      </x:c>
      <x:c r="C71" s="8" t="str">
        <x:v>200</x:v>
      </x:c>
      <x:c r="D71" s="8" t="str">
        <x:v>Portal / seção documental</x:v>
      </x:c>
      <x:c r="E71" s="12" t="d">
        <x:v>2026-10-12T12:00:00.000Z</x:v>
      </x:c>
    </x:row>
    <x:row r="72" ht="84" customHeight="1">
      <x:c r="A72" s="8" t="str">
        <x:v>Tangará da Serra</x:v>
      </x:c>
      <x:c r="B72" s="8" t="str">
        <x:v>https://sites.google.com/edu.mt.gov.br/dre-tangaradaserra/institucional/coordenadorias/cofor</x:v>
      </x:c>
      <x:c r="C72" s="8" t="str">
        <x:v>200</x:v>
      </x:c>
      <x:c r="D72" s="8" t="str">
        <x:v>Portal / seção documental</x:v>
      </x:c>
      <x:c r="E72" s="12" t="d">
        <x:v>2026-10-12T12:00:00.000Z</x:v>
      </x:c>
    </x:row>
    <x:row r="73" ht="84" customHeight="1">
      <x:c r="A73" s="8" t="str">
        <x:v>Tangará da Serra</x:v>
      </x:c>
      <x:c r="B73" s="8" t="str">
        <x:v>https://sites.google.com/edu.mt.gov.br/dre-tangaradaserra/institucional/coordenadorias/coger</x:v>
      </x:c>
      <x:c r="C73" s="8" t="str">
        <x:v>200</x:v>
      </x:c>
      <x:c r="D73" s="8" t="str">
        <x:v>Portal / seção documental</x:v>
      </x:c>
      <x:c r="E73" s="12" t="d">
        <x:v>2026-10-12T12:00:00.000Z</x:v>
      </x:c>
    </x:row>
    <x:row r="74" ht="84" customHeight="1">
      <x:c r="A74" s="8" t="str">
        <x:v>Tangará da Serra</x:v>
      </x:c>
      <x:c r="B74" s="8" t="str">
        <x:v>https://sites.google.com/edu.mt.gov.br/dre-tangaradaserra/institucional/coordenadorias/cogpe</x:v>
      </x:c>
      <x:c r="C74" s="8" t="str">
        <x:v>200</x:v>
      </x:c>
      <x:c r="D74" s="8" t="str">
        <x:v>Portal / seção documental</x:v>
      </x:c>
      <x:c r="E74" s="12" t="d">
        <x:v>2026-10-12T12:00:00.000Z</x:v>
      </x:c>
    </x:row>
    <x:row r="75" ht="84" customHeight="1">
      <x:c r="A75" s="8" t="str">
        <x:v>Tangará da Serra</x:v>
      </x:c>
      <x:c r="B75" s="8" t="str">
        <x:v>https://sites.google.com/edu.mt.gov.br/dre-tangaradaserra/institucional/coordenadorias/coipt</x:v>
      </x:c>
      <x:c r="C75" s="8" t="str">
        <x:v>200</x:v>
      </x:c>
      <x:c r="D75" s="8" t="str">
        <x:v>Portal / seção documental</x:v>
      </x:c>
      <x:c r="E75" s="12" t="d">
        <x:v>2026-10-12T12:00:00.000Z</x:v>
      </x:c>
    </x:row>
    <x:row r="76" ht="84" customHeight="1">
      <x:c r="A76" s="8" t="str">
        <x:v>Tangará da Serra</x:v>
      </x:c>
      <x:c r="B76" s="8" t="str">
        <x:v>https://sites.google.com/edu.mt.gov.br/dre-tangaradaserra/institucional/coordenadorias/coped</x:v>
      </x:c>
      <x:c r="C76" s="8" t="str">
        <x:v>200</x:v>
      </x:c>
      <x:c r="D76" s="8" t="str">
        <x:v>Portal / seção documental</x:v>
      </x:c>
      <x:c r="E76" s="12" t="d">
        <x:v>2026-10-12T12:00:00.000Z</x:v>
      </x:c>
    </x:row>
    <x:row r="77" ht="84" customHeight="1">
      <x:c r="A77" s="8" t="str">
        <x:v>Tangará da Serra</x:v>
      </x:c>
      <x:c r="B77" s="8" t="str">
        <x:v>https://sites.google.com/edu.mt.gov.br/dre-tangaradaserra/pregão-e-chamada-pública</x:v>
      </x:c>
      <x:c r="C77" s="8" t="str">
        <x:v>200</x:v>
      </x:c>
      <x:c r="D77" s="8" t="str">
        <x:v>Portal / seção documental</x:v>
      </x:c>
      <x:c r="E77" s="12" t="d">
        <x:v>2026-10-12T12:00:00.000Z</x:v>
      </x:c>
    </x:row>
    <x:row r="78" ht="84" customHeight="1">
      <x:c r="A78" s="8" t="str">
        <x:v>Sinop</x:v>
      </x:c>
      <x:c r="B78" s="8" t="str">
        <x:v>https://dresinop.com.br/editais/993c9e6b-8ed8-4697-81b6-2fbf4cfedf2d</x:v>
      </x:c>
      <x:c r="C78" s="8" t="str">
        <x:v>200</x:v>
      </x:c>
      <x:c r="D78" s="8" t="str">
        <x:v>Portal / seção documental</x:v>
      </x:c>
      <x:c r="E78" s="12" t="d">
        <x:v>2026-10-12T12:00:00.000Z</x:v>
      </x:c>
    </x:row>
    <x:row r="79" ht="84" customHeight="1">
      <x:c r="A79" s="8" t="str">
        <x:v>Diamantino</x:v>
      </x:c>
      <x:c r="B79" s="8" t="str">
        <x:v>https://sites.google.com/edu.mt.gov.br/drediamantino/chamada-p%C3%BAblica</x:v>
      </x:c>
      <x:c r="C79" s="8" t="str">
        <x:v>200</x:v>
      </x:c>
      <x:c r="D79" s="8" t="str">
        <x:v>Portal / seção documental</x:v>
      </x:c>
      <x:c r="E79" s="12" t="d">
        <x:v>2026-10-12T12:00:00.000Z</x:v>
      </x:c>
    </x:row>
    <x:row r="80" ht="84" customHeight="1">
      <x:c r="A80" s="8" t="str">
        <x:v>Barra do Garças</x:v>
      </x:c>
      <x:c r="B80" s="8" t="str">
        <x:v>https://sites.google.com/edu.mt.gov.br/dre-barra-do-garcas/editais</x:v>
      </x:c>
      <x:c r="C80" s="8" t="str">
        <x:v>200</x:v>
      </x:c>
      <x:c r="D80" s="8" t="str">
        <x:v>Portal / seção documental</x:v>
      </x:c>
      <x:c r="E80" s="12" t="d">
        <x:v>2026-10-12T12:00:00.000Z</x:v>
      </x:c>
    </x:row>
    <x:row r="81" ht="84" customHeight="1">
      <x:c r="A81" s="8" t="str">
        <x:v>Primavera do Leste</x:v>
      </x:c>
      <x:c r="B81" s="8" t="str">
        <x:v>https://sites.google.com/edu.mt.gov.br/drepva/editais/editais-e-soliciação-de-documentos/editais-2024</x:v>
      </x:c>
      <x:c r="C81" s="8" t="str">
        <x:v>200</x:v>
      </x:c>
      <x:c r="D81" s="8" t="str">
        <x:v>Portal / seção documental</x:v>
      </x:c>
      <x:c r="E81" s="12" t="d">
        <x:v>2026-10-12T12:00:00.000Z</x:v>
      </x:c>
    </x:row>
    <x:row r="82" ht="84" customHeight="1">
      <x:c r="A82" s="8" t="str">
        <x:v>Primavera do Leste</x:v>
      </x:c>
      <x:c r="B82" s="8" t="str">
        <x:v>https://sites.google.com/edu.mt.gov.br/drepva/editais/editais-e-soliciação-de-documentos/editais-2025</x:v>
      </x:c>
      <x:c r="C82" s="8" t="str">
        <x:v>200</x:v>
      </x:c>
      <x:c r="D82" s="8" t="str">
        <x:v>Portal / seção documental</x:v>
      </x:c>
      <x:c r="E82" s="12" t="d">
        <x:v>2026-10-12T12:00:00.000Z</x:v>
      </x:c>
    </x:row>
    <x:row r="83" ht="84" customHeight="1">
      <x:c r="A83" s="8" t="str">
        <x:v>Rondonópolis</x:v>
      </x:c>
      <x:c r="B83" s="8" t="str">
        <x:v>https://drerondonopolis.com.br/escolas/</x:v>
      </x:c>
      <x:c r="C83" s="8" t="str">
        <x:v>200</x:v>
      </x:c>
      <x:c r="D83" s="8" t="str">
        <x:v>Portal / seção documental</x:v>
      </x:c>
      <x:c r="E83" s="12" t="d">
        <x:v>2026-10-12T12:00:00.000Z</x:v>
      </x:c>
    </x:row>
    <x:row r="84" ht="84" customHeight="1">
      <x:c r="A84" s="8" t="str">
        <x:v>Matupá</x:v>
      </x:c>
      <x:c r="B84" s="8" t="str">
        <x:v>https://www.drematupa.com.br/editais/ed51c483-5f37-486e-ab24-5cf32196c4fb</x:v>
      </x:c>
      <x:c r="C84" s="8" t="str">
        <x:v>200</x:v>
      </x:c>
      <x:c r="D84" s="8" t="str">
        <x:v>Portal / seção documental</x:v>
      </x:c>
      <x:c r="E84" s="12" t="d">
        <x:v>2026-10-12T12:00:00.000Z</x:v>
      </x:c>
    </x:row>
    <x:row r="85" ht="84" customHeight="1">
      <x:c r="A85" s="8" t="str">
        <x:v>Tangará da Serra</x:v>
      </x:c>
      <x:c r="B85" s="8" t="str">
        <x:v>https://sites.google.com/edu.mt.gov.br/dre-tangaradaserra/institucional/coordenadorias/coadm/chamada-pública-em-andamento</x:v>
      </x:c>
      <x:c r="C85" s="8" t="str">
        <x:v>200</x:v>
      </x:c>
      <x:c r="D85" s="8" t="str">
        <x:v>Portal / seção documental</x:v>
      </x:c>
      <x:c r="E85" s="12" t="d">
        <x:v>2026-10-12T12:00:00.000Z</x:v>
      </x:c>
    </x:row>
    <x:row r="86" ht="84" customHeight="1">
      <x:c r="A86" s="8" t="str">
        <x:v>Tangará da Serra</x:v>
      </x:c>
      <x:c r="B86" s="8" t="str">
        <x:v>https://sites.google.com/edu.mt.gov.br/dre-tangaradaserra/institucional/coordenadorias/coadm/chamada-pública-concluídas</x:v>
      </x:c>
      <x:c r="C86" s="8" t="str">
        <x:v>200</x:v>
      </x:c>
      <x:c r="D86" s="8" t="str">
        <x:v>Portal / seção documental</x:v>
      </x:c>
      <x:c r="E86" s="12" t="d">
        <x:v>2026-10-12T12:00:00.000Z</x:v>
      </x:c>
    </x:row>
    <x:row r="87" ht="84" customHeight="1">
      <x:c r="A87" s="8" t="str">
        <x:v>Tangará da Serra</x:v>
      </x:c>
      <x:c r="B87" s="8" t="str">
        <x:v>https://sites.google.com/edu.mt.gov.br/dre-tangaradaserra/institucional/coordenadorias/coadm/chamada-pública-arquivadas</x:v>
      </x:c>
      <x:c r="C87" s="8" t="str">
        <x:v>200</x:v>
      </x:c>
      <x:c r="D87" s="8" t="str">
        <x:v>Portal / seção documental</x:v>
      </x:c>
      <x:c r="E87" s="12" t="d">
        <x:v>2026-10-12T12:00:00.000Z</x:v>
      </x:c>
    </x:row>
    <x:row r="88" ht="84" customHeight="1">
      <x:c r="A88" s="8" t="str">
        <x:v>Alta Floresta</x:v>
      </x:c>
      <x:c r="B88" s="8" t="str">
        <x:v>https://drealtafloresta.com.br/drealtafloresta/aviso-de-chamada-publica-no-013-2024-p-o-municipio-de-nova-monte-verde-mt-ano-letivo-de-2025/</x:v>
      </x:c>
      <x:c r="C88" s="8" t="str">
        <x:v>200</x:v>
      </x:c>
      <x:c r="D88" s="8" t="str">
        <x:v>Portal / seção documental</x:v>
      </x:c>
      <x:c r="E88" s="12" t="d">
        <x:v>2026-10-12T12:00:00.000Z</x:v>
      </x:c>
    </x:row>
    <x:row r="89" ht="84" customHeight="1">
      <x:c r="A89" s="8" t="str">
        <x:v>Alta Floresta</x:v>
      </x:c>
      <x:c r="B89" s="8" t="str">
        <x:v>https://drealtafloresta.com.br/drealtafloresta/aviso-de-chamada-publica-no-014-2024-p-o-municipio-de-nova-bandeirantes-ano-letivo-de-2025/</x:v>
      </x:c>
      <x:c r="C89" s="8" t="str">
        <x:v>200</x:v>
      </x:c>
      <x:c r="D89" s="8" t="str">
        <x:v>Portal / seção documental</x:v>
      </x:c>
      <x:c r="E89" s="12" t="d">
        <x:v>2026-10-12T12:00:00.000Z</x:v>
      </x:c>
    </x:row>
    <x:row r="90" ht="84" customHeight="1">
      <x:c r="A90" s="8" t="str">
        <x:v>Alta Floresta</x:v>
      </x:c>
      <x:c r="B90" s="8" t="str">
        <x:v>https://drealtafloresta.com.br/drealtafloresta/aviso-de-chamada-publica-no-012-2024-p-o-municipio-de-apiacas-mt-ano-letivo-de-2025/</x:v>
      </x:c>
      <x:c r="C90" s="8" t="str">
        <x:v>200</x:v>
      </x:c>
      <x:c r="D90" s="8" t="str">
        <x:v>Portal / seção documental</x:v>
      </x:c>
      <x:c r="E90" s="12" t="d">
        <x:v>2026-10-12T12:00:00.000Z</x:v>
      </x:c>
    </x:row>
    <x:row r="91" ht="84" customHeight="1">
      <x:c r="A91" s="8" t="str">
        <x:v>Alta Floresta</x:v>
      </x:c>
      <x:c r="B91" s="8" t="str">
        <x:v>https://drealtafloresta.com.br/drealtafloresta/aviso-de-chamada-publica-no-010-2024-p-o-municipio-de-nova-canaa-do-norte-ano-letivo-2025/</x:v>
      </x:c>
      <x:c r="C91" s="8" t="str">
        <x:v>200</x:v>
      </x:c>
      <x:c r="D91" s="8" t="str">
        <x:v>Portal / seção documental</x:v>
      </x:c>
      <x:c r="E91" s="12" t="d">
        <x:v>2026-10-12T12:00:00.000Z</x:v>
      </x:c>
    </x:row>
    <x:row r="92" ht="84" customHeight="1">
      <x:c r="A92" s="8" t="str">
        <x:v>Alta Floresta</x:v>
      </x:c>
      <x:c r="B92" s="8" t="str">
        <x:v>https://drealtafloresta.com.br/drealtafloresta/aviso-de-chamada-publica-no-009-2024-p-o-municipio-carlinda-mt-ano-letivo-de-2025/</x:v>
      </x:c>
      <x:c r="C92" s="8" t="str">
        <x:v>200</x:v>
      </x:c>
      <x:c r="D92" s="8" t="str">
        <x:v>Portal / seção documental</x:v>
      </x:c>
      <x:c r="E92" s="12" t="d">
        <x:v>2026-10-12T12:00:00.000Z</x:v>
      </x:c>
    </x:row>
    <x:row r="93" ht="84" customHeight="1">
      <x:c r="A93" s="8" t="str">
        <x:v>Alta Floresta</x:v>
      </x:c>
      <x:c r="B93" s="8" t="str">
        <x:v>https://drealtafloresta.com.br/drealtafloresta/aviso-de-chamada-publica-no-011-2024-paranaita-2/</x:v>
      </x:c>
      <x:c r="C93" s="8" t="str">
        <x:v>200</x:v>
      </x:c>
      <x:c r="D93" s="8" t="str">
        <x:v>Portal / seção documental</x:v>
      </x:c>
      <x:c r="E93" s="12" t="d">
        <x:v>2026-10-12T12:00:00.000Z</x:v>
      </x:c>
    </x:row>
    <x:row r="94" ht="84" customHeight="1">
      <x:c r="A94" s="8" t="str">
        <x:v>Alta Floresta</x:v>
      </x:c>
      <x:c r="B94" s="8" t="str">
        <x:v>https://drealtafloresta.com.br/drealtafloresta/aviso-de-chamada-publica-no-008-2024-alta-floresta/</x:v>
      </x:c>
      <x:c r="C94" s="8" t="str">
        <x:v>200</x:v>
      </x:c>
      <x:c r="D94" s="8" t="str">
        <x:v>Portal / seção documental</x:v>
      </x:c>
      <x:c r="E94" s="12" t="d">
        <x:v>2026-10-12T12:00:00.000Z</x:v>
      </x:c>
    </x:row>
    <x:row r="95" ht="84" customHeight="1">
      <x:c r="A95" s="8" t="str">
        <x:v>Metropolitana</x:v>
      </x:c>
      <x:c r="B95" s="8" t="str">
        <x:v>https://www.dmetropolitana.org/pregao-2025</x:v>
      </x:c>
      <x:c r="C95" s="8" t="str">
        <x:v>200</x:v>
      </x:c>
      <x:c r="D95" s="8" t="str">
        <x:v>Portal / seção documental</x:v>
      </x:c>
      <x:c r="E95" s="12" t="d">
        <x:v>2026-10-12T12:00:00.000Z</x:v>
      </x:c>
    </x:row>
    <x:row r="96" ht="84" customHeight="1">
      <x:c r="A96" s="8" t="str">
        <x:v>Cáceres</x:v>
      </x:c>
      <x:c r="B96" s="8" t="str">
        <x:v>https://www.drecaceres.com.br/edital.php?id=233</x:v>
      </x:c>
      <x:c r="C96" s="8" t="str">
        <x:v>200</x:v>
      </x:c>
      <x:c r="D96" s="8" t="str">
        <x:v>Portal / seção documental</x:v>
      </x:c>
      <x:c r="E96" s="12" t="d">
        <x:v>2026-10-12T12:00:00.000Z</x:v>
      </x:c>
    </x:row>
    <x:row r="97" ht="84" customHeight="1">
      <x:c r="A97" s="8" t="str">
        <x:v>Confresa</x:v>
      </x:c>
      <x:c r="B97" s="8" t="str">
        <x:v>https://www.iomat.mt.gov.br/legislacao/diario_oficial/detalhes/873816</x:v>
      </x:c>
      <x:c r="C97" s="8" t="str">
        <x:v>200</x:v>
      </x:c>
      <x:c r="D97" s="8" t="str">
        <x:v>Fonte oficial alternativa</x:v>
      </x:c>
      <x:c r="E97" s="12" t="d">
        <x:v>2026-10-12T12:00:00.000Z</x:v>
      </x:c>
    </x:row>
    <x:row r="98" ht="84" customHeight="1">
      <x:c r="A98" s="8" t="str">
        <x:v>Barra do Garças</x:v>
      </x:c>
      <x:c r="B98" s="8" t="str">
        <x:v>https://www.iomat.mt.gov.br/legislacao/diario_oficial/detalhes/884194</x:v>
      </x:c>
      <x:c r="C98" s="8" t="str">
        <x:v>200</x:v>
      </x:c>
      <x:c r="D98" s="8" t="str">
        <x:v>Fonte oficial alternativa</x:v>
      </x:c>
      <x:c r="E98" s="12" t="d">
        <x:v>2026-10-12T12:00:00.000Z</x:v>
      </x:c>
    </x:row>
    <x:row r="99" ht="84" customHeight="1">
      <x:c r="A99" s="8" t="str">
        <x:v>Rondonópolis</x:v>
      </x:c>
      <x:c r="B99" s="8" t="str">
        <x:v>https://www.iomat.mt.gov.br/legislacao/diario_oficial/detalhes/902650</x:v>
      </x:c>
      <x:c r="C99" s="8" t="str">
        <x:v>200</x:v>
      </x:c>
      <x:c r="D99" s="8" t="str">
        <x:v>Fonte oficial alternativa</x:v>
      </x:c>
      <x:c r="E99" s="12" t="d">
        <x:v>2026-10-12T12:00:00.000Z</x:v>
      </x:c>
    </x:row>
    <x:row r="100" ht="84" customHeight="1">
      <x:c r="A100" s="8" t="str">
        <x:v>Matupá</x:v>
      </x:c>
      <x:c r="B100" s="8" t="str">
        <x:v>https://www.iomat.mt.gov.br/legislacao/diario_oficial/detalhes/885190</x:v>
      </x:c>
      <x:c r="C100" s="8" t="str">
        <x:v>200</x:v>
      </x:c>
      <x:c r="D100" s="8" t="str">
        <x:v>Fonte oficial alternativa</x:v>
      </x:c>
      <x:c r="E100" s="12" t="d">
        <x:v>2026-10-12T12:00:00.000Z</x:v>
      </x:c>
    </x:row>
    <x:row r="101" ht="84" customHeight="1">
      <x:c r="A101" s="8" t="str">
        <x:v>Pontes e Lacerda</x:v>
      </x:c>
      <x:c r="B101" s="8" t="str">
        <x:v>https://dreponteselacerda.com.br/site/informativo.php?ID=19</x:v>
      </x:c>
      <x:c r="C101" s="8" t="str">
        <x:v>200</x:v>
      </x:c>
      <x:c r="D101" s="8" t="str">
        <x:v>Fonte oficial alternativa</x:v>
      </x:c>
      <x:c r="E101" s="12" t="d">
        <x:v>2026-10-12T12:00:00.000Z</x:v>
      </x:c>
    </x:row>
    <x:row r="102" ht="84" customHeight="1">
      <x:c r="A102" s="8" t="str">
        <x:v>Alta Floresta</x:v>
      </x:c>
      <x:c r="B102" s="8" t="str">
        <x:v>https://drealtafloresta.com.br/drealtafloresta/escolas-alta-floresta/</x:v>
      </x:c>
      <x:c r="C102" s="8" t="str">
        <x:v>200</x:v>
      </x:c>
      <x:c r="D102" s="8" t="str">
        <x:v>Unidades escolares</x:v>
      </x:c>
      <x:c r="E102" s="12" t="d">
        <x:v>2026-10-12T12:00:00.000Z</x:v>
      </x:c>
    </x:row>
    <x:row r="103" ht="84" customHeight="1">
      <x:c r="A103" s="8" t="str">
        <x:v>Cáceres</x:v>
      </x:c>
      <x:c r="B103" s="8" t="str">
        <x:v>https://www.drecaceres.com.br/municipio.php?slug=sede-da-dre-caceres</x:v>
      </x:c>
      <x:c r="C103" s="8" t="str">
        <x:v>200</x:v>
      </x:c>
      <x:c r="D103" s="8" t="str">
        <x:v>Unidades escolares</x:v>
      </x:c>
      <x:c r="E103" s="12" t="d">
        <x:v>2026-10-12T12:00:00.000Z</x:v>
      </x:c>
    </x:row>
    <x:row r="104" ht="84" customHeight="1">
      <x:c r="A104" s="8" t="str">
        <x:v>Cáceres</x:v>
      </x:c>
      <x:c r="B104" s="8" t="str">
        <x:v>https://www.drecaceres.com.br/municipio.php?slug=araputanga</x:v>
      </x:c>
      <x:c r="C104" s="8" t="str">
        <x:v>200</x:v>
      </x:c>
      <x:c r="D104" s="8" t="str">
        <x:v>Unidades escolares</x:v>
      </x:c>
      <x:c r="E104" s="12" t="d">
        <x:v>2026-10-12T12:00:00.000Z</x:v>
      </x:c>
    </x:row>
    <x:row r="105" ht="84" customHeight="1">
      <x:c r="A105" s="8" t="str">
        <x:v>Cáceres</x:v>
      </x:c>
      <x:c r="B105" s="8" t="str">
        <x:v>https://www.drecaceres.com.br/municipio.php?slug=curvelandia</x:v>
      </x:c>
      <x:c r="C105" s="8" t="str">
        <x:v>200</x:v>
      </x:c>
      <x:c r="D105" s="8" t="str">
        <x:v>Unidades escolares</x:v>
      </x:c>
      <x:c r="E105" s="12" t="d">
        <x:v>2026-10-12T12:00:00.000Z</x:v>
      </x:c>
    </x:row>
    <x:row r="106" ht="84" customHeight="1">
      <x:c r="A106" s="8" t="str">
        <x:v>Cáceres</x:v>
      </x:c>
      <x:c r="B106" s="8" t="str">
        <x:v>https://www.drecaceres.com.br/municipio.php?slug=gloria-do-oeste</x:v>
      </x:c>
      <x:c r="C106" s="8" t="str">
        <x:v>200</x:v>
      </x:c>
      <x:c r="D106" s="8" t="str">
        <x:v>Unidades escolares</x:v>
      </x:c>
      <x:c r="E106" s="12" t="d">
        <x:v>2026-10-12T12:00:00.000Z</x:v>
      </x:c>
    </x:row>
    <x:row r="107" ht="84" customHeight="1">
      <x:c r="A107" s="8" t="str">
        <x:v>Cáceres</x:v>
      </x:c>
      <x:c r="B107" s="8" t="str">
        <x:v>https://www.drecaceres.com.br/municipio.php?slug=indiavai</x:v>
      </x:c>
      <x:c r="C107" s="8" t="str">
        <x:v>200</x:v>
      </x:c>
      <x:c r="D107" s="8" t="str">
        <x:v>Unidades escolares</x:v>
      </x:c>
      <x:c r="E107" s="12" t="d">
        <x:v>2026-10-12T12:00:00.000Z</x:v>
      </x:c>
    </x:row>
    <x:row r="108" ht="84" customHeight="1">
      <x:c r="A108" s="8" t="str">
        <x:v>Cáceres</x:v>
      </x:c>
      <x:c r="B108" s="8" t="str">
        <x:v>https://www.drecaceres.com.br/municipio.php?slug=lambari-do-oeste</x:v>
      </x:c>
      <x:c r="C108" s="8" t="str">
        <x:v>200</x:v>
      </x:c>
      <x:c r="D108" s="8" t="str">
        <x:v>Unidades escolares</x:v>
      </x:c>
      <x:c r="E108" s="12" t="d">
        <x:v>2026-10-12T12:00:00.000Z</x:v>
      </x:c>
    </x:row>
    <x:row r="109" ht="84" customHeight="1">
      <x:c r="A109" s="8" t="str">
        <x:v>Cáceres</x:v>
      </x:c>
      <x:c r="B109" s="8" t="str">
        <x:v>https://www.drecaceres.com.br/municipio.php?slug=mirassol-do-oeste</x:v>
      </x:c>
      <x:c r="C109" s="8" t="str">
        <x:v>200</x:v>
      </x:c>
      <x:c r="D109" s="8" t="str">
        <x:v>Unidades escolares</x:v>
      </x:c>
      <x:c r="E109" s="12" t="d">
        <x:v>2026-10-12T12:00:00.000Z</x:v>
      </x:c>
    </x:row>
    <x:row r="110" ht="84" customHeight="1">
      <x:c r="A110" s="8" t="str">
        <x:v>Cáceres</x:v>
      </x:c>
      <x:c r="B110" s="8" t="str">
        <x:v>https://www.drecaceres.com.br/municipio.php?slug=porto-esperidiao</x:v>
      </x:c>
      <x:c r="C110" s="8" t="str">
        <x:v>200</x:v>
      </x:c>
      <x:c r="D110" s="8" t="str">
        <x:v>Unidades escolares</x:v>
      </x:c>
      <x:c r="E110" s="12" t="d">
        <x:v>2026-10-12T12:00:00.000Z</x:v>
      </x:c>
    </x:row>
    <x:row r="111" ht="84" customHeight="1">
      <x:c r="A111" s="8" t="str">
        <x:v>Cáceres</x:v>
      </x:c>
      <x:c r="B111" s="8" t="str">
        <x:v>https://www.drecaceres.com.br/municipio.php?slug=reserva-do-cabacal</x:v>
      </x:c>
      <x:c r="C111" s="8" t="str">
        <x:v>200</x:v>
      </x:c>
      <x:c r="D111" s="8" t="str">
        <x:v>Unidades escolares</x:v>
      </x:c>
      <x:c r="E111" s="12" t="d">
        <x:v>2026-10-12T12:00:00.000Z</x:v>
      </x:c>
    </x:row>
    <x:row r="112" ht="84" customHeight="1">
      <x:c r="A112" s="8" t="str">
        <x:v>Cáceres</x:v>
      </x:c>
      <x:c r="B112" s="8" t="str">
        <x:v>https://www.drecaceres.com.br/municipio.php?slug=rio-branco</x:v>
      </x:c>
      <x:c r="C112" s="8" t="str">
        <x:v>200</x:v>
      </x:c>
      <x:c r="D112" s="8" t="str">
        <x:v>Unidades escolares</x:v>
      </x:c>
      <x:c r="E112" s="12" t="d">
        <x:v>2026-10-12T12:00:00.000Z</x:v>
      </x:c>
    </x:row>
    <x:row r="113" ht="84" customHeight="1">
      <x:c r="A113" s="8" t="str">
        <x:v>Cáceres</x:v>
      </x:c>
      <x:c r="B113" s="8" t="str">
        <x:v>https://www.drecaceres.com.br/municipio.php?slug=salto-do-ceu</x:v>
      </x:c>
      <x:c r="C113" s="8" t="str">
        <x:v>200</x:v>
      </x:c>
      <x:c r="D113" s="8" t="str">
        <x:v>Unidades escolares</x:v>
      </x:c>
      <x:c r="E113" s="12" t="d">
        <x:v>2026-10-12T12:00:00.000Z</x:v>
      </x:c>
    </x:row>
    <x:row r="114" ht="84" customHeight="1">
      <x:c r="A114" s="8" t="str">
        <x:v>Cáceres</x:v>
      </x:c>
      <x:c r="B114" s="8" t="str">
        <x:v>https://www.drecaceres.com.br/municipio.php?slug=sao-jose-dos-iv+marcos</x:v>
      </x:c>
      <x:c r="C114" s="8" t="str">
        <x:v>200</x:v>
      </x:c>
      <x:c r="D114" s="8" t="str">
        <x:v>Unidades escolares</x:v>
      </x:c>
      <x:c r="E114" s="12" t="d">
        <x:v>2026-10-12T12:00:00.000Z</x:v>
      </x:c>
    </x:row>
    <x:row r="115" ht="84" customHeight="1">
      <x:c r="A115" s="8" t="str">
        <x:v>Confresa</x:v>
      </x:c>
      <x:c r="B115" s="8" t="str">
        <x:v>https://dreconfresa.com.br/escolas.php</x:v>
      </x:c>
      <x:c r="C115" s="8" t="str">
        <x:v>200</x:v>
      </x:c>
      <x:c r="D115" s="8" t="str">
        <x:v>Unidades escolares</x:v>
      </x:c>
      <x:c r="E115" s="12" t="d">
        <x:v>2026-10-12T12:00:00.000Z</x:v>
      </x:c>
    </x:row>
    <x:row r="116" ht="84" customHeight="1">
      <x:c r="A116" s="8" t="str">
        <x:v>Juína</x:v>
      </x:c>
      <x:c r="B116" s="8" t="str">
        <x:v>https://www.drejuina.com.br/escolas</x:v>
      </x:c>
      <x:c r="C116" s="8" t="str">
        <x:v>200</x:v>
      </x:c>
      <x:c r="D116" s="8" t="str">
        <x:v>Unidades escolares</x:v>
      </x:c>
      <x:c r="E116" s="12" t="d">
        <x:v>2026-10-12T12:00:00.000Z</x:v>
      </x:c>
    </x:row>
    <x:row r="117" ht="84" customHeight="1">
      <x:c r="A117" s="8" t="str">
        <x:v>Juína</x:v>
      </x:c>
      <x:c r="B117" s="8" t="str">
        <x:v>https://www.drejuina.com.br/institucional_conta.php?id=8&amp;link=https://www.drejuina.com.br/escolas</x:v>
      </x:c>
      <x:c r="C117" s="8" t="str">
        <x:v>200</x:v>
      </x:c>
      <x:c r="D117" s="8" t="str">
        <x:v>Unidades escolares</x:v>
      </x:c>
      <x:c r="E117" s="12" t="d">
        <x:v>2026-10-12T12:00:00.000Z</x:v>
      </x:c>
    </x:row>
    <x:row r="118" ht="84" customHeight="1">
      <x:c r="A118" s="8" t="str">
        <x:v>Matupá</x:v>
      </x:c>
      <x:c r="B118" s="8" t="str">
        <x:v>https://www.drematupa.com.br/unidades</x:v>
      </x:c>
      <x:c r="C118" s="8" t="str">
        <x:v>200</x:v>
      </x:c>
      <x:c r="D118" s="8" t="str">
        <x:v>Unidades escolares</x:v>
      </x:c>
      <x:c r="E118" s="12" t="d">
        <x:v>2026-10-12T12:00:00.000Z</x:v>
      </x:c>
    </x:row>
    <x:row r="119" ht="84" customHeight="1">
      <x:c r="A119" s="8" t="str">
        <x:v>Pontes e Lacerda</x:v>
      </x:c>
      <x:c r="B119" s="8" t="str">
        <x:v>https://dreponteselacerda.com.br/site/escolas.php</x:v>
      </x:c>
      <x:c r="C119" s="8" t="str">
        <x:v>200</x:v>
      </x:c>
      <x:c r="D119" s="8" t="str">
        <x:v>Unidades escolares</x:v>
      </x:c>
      <x:c r="E119" s="12" t="d">
        <x:v>2026-10-12T12:00:00.000Z</x:v>
      </x:c>
    </x:row>
    <x:row r="120" ht="84" customHeight="1">
      <x:c r="A120" s="8" t="str">
        <x:v>Sinop</x:v>
      </x:c>
      <x:c r="B120" s="8" t="str">
        <x:v>https://dresinop.com.br/unidades</x:v>
      </x:c>
      <x:c r="C120" s="8" t="str">
        <x:v>200</x:v>
      </x:c>
      <x:c r="D120" s="8" t="str">
        <x:v>Unidades escolares</x:v>
      </x:c>
      <x:c r="E120" s="12" t="d">
        <x:v>2026-10-12T12:00:00.000Z</x:v>
      </x:c>
    </x:row>
    <x:row r="121" ht="84" customHeight="1">
      <x:c r="A121" s="8" t="str">
        <x:v>Tangará da Serra</x:v>
      </x:c>
      <x:c r="B121" s="8" t="str">
        <x:v>https://sites.google.com/edu.mt.gov.br/dre-tangaradaserra/institucional/unidades-escolares</x:v>
      </x:c>
      <x:c r="C121" s="8" t="str">
        <x:v>200</x:v>
      </x:c>
      <x:c r="D121" s="8" t="str">
        <x:v>Unidades escolares</x:v>
      </x:c>
      <x:c r="E121" s="12" t="d">
        <x:v>2026-10-12T12:00:00.000Z</x:v>
      </x:c>
    </x:row>
    <x:row r="122" ht="84" customHeight="1">
      <x:c r="A122" s="8" t="str">
        <x:v>Alta Floresta</x:v>
      </x:c>
      <x:c r="B122" s="8" t="str">
        <x:v>https://drealtafloresta.com.br/drealtafloresta/category/editais/page/14/</x:v>
      </x:c>
      <x:c r="C122" s="8" t="str">
        <x:v>200</x:v>
      </x:c>
      <x:c r="D122" s="8" t="str">
        <x:v>Portal / seção documental</x:v>
      </x:c>
      <x:c r="E122" s="12" t="d">
        <x:v>2026-10-12T12:00:00.000Z</x:v>
      </x:c>
    </x:row>
    <x:row r="123" ht="84" customHeight="1">
      <x:c r="A123" s="8" t="str">
        <x:v>Alta Floresta</x:v>
      </x:c>
      <x:c r="B123" s="8" t="str">
        <x:v>https://drealtafloresta.com.br/drealtafloresta/category/editais/page/15/</x:v>
      </x:c>
      <x:c r="C123" s="8" t="str">
        <x:v>200</x:v>
      </x:c>
      <x:c r="D123" s="8" t="str">
        <x:v>Portal / seção documental</x:v>
      </x:c>
      <x:c r="E123" s="12" t="d">
        <x:v>2026-10-12T12:00:00.000Z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90c8b3a4d284ed7"/>
  </x:tableParts>
</x:worksheet>
</file>